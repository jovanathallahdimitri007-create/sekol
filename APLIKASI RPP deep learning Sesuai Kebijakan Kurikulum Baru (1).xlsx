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31"/>
  <workbookPr codeName="ThisWorkbook" defaultThemeVersion="124226"/>
  <mc:AlternateContent xmlns:mc="http://schemas.openxmlformats.org/markup-compatibility/2006">
    <mc:Choice Requires="x15">
      <x15ac:absPath xmlns:x15ac="http://schemas.microsoft.com/office/spreadsheetml/2010/11/ac" url="C:\Users\hasdigi.id\Downloads\"/>
    </mc:Choice>
  </mc:AlternateContent>
  <xr:revisionPtr revIDLastSave="0" documentId="13_ncr:1_{513BAF3A-472F-4D2C-98D5-EFC0E42B56C1}" xr6:coauthVersionLast="47" xr6:coauthVersionMax="47" xr10:uidLastSave="{00000000-0000-0000-0000-000000000000}"/>
  <bookViews>
    <workbookView xWindow="-120" yWindow="330" windowWidth="20730" windowHeight="11310" firstSheet="1" activeTab="5" xr2:uid="{00000000-000D-0000-FFFF-FFFF00000000}"/>
  </bookViews>
  <sheets>
    <sheet name="HALAMAN AWAL" sheetId="1" r:id="rId1"/>
    <sheet name="Cover" sheetId="6" r:id="rId2"/>
    <sheet name="Desain Pembelajaran" sheetId="2" r:id="rId3"/>
    <sheet name="Langkah Pembelajaran" sheetId="4" r:id="rId4"/>
    <sheet name="Asesmen " sheetId="5" r:id="rId5"/>
    <sheet name="cetak RPP" sheetId="3" r:id="rId6"/>
  </sheets>
  <definedNames>
    <definedName name="_xlnm.Print_Area" localSheetId="5">'cetak RPP'!$A$1:$L$65</definedName>
    <definedName name="_xlnm.Print_Area" localSheetId="1">Cover!$A$1:$J$45</definedName>
  </definedNames>
  <calcPr calcId="191029"/>
</workbook>
</file>

<file path=xl/calcChain.xml><?xml version="1.0" encoding="utf-8"?>
<calcChain xmlns="http://schemas.openxmlformats.org/spreadsheetml/2006/main">
  <c r="J44" i="3" l="1"/>
  <c r="J43" i="3"/>
  <c r="J42" i="3"/>
  <c r="J41" i="3"/>
  <c r="J40" i="3"/>
  <c r="J39" i="3"/>
  <c r="D36" i="3"/>
  <c r="C52" i="3"/>
  <c r="C56" i="3"/>
  <c r="C30" i="3"/>
  <c r="C28" i="3"/>
  <c r="C26" i="3"/>
  <c r="C24" i="3"/>
  <c r="D22" i="3"/>
  <c r="D21" i="3"/>
  <c r="D20" i="3"/>
  <c r="D17" i="3"/>
  <c r="D16" i="3"/>
  <c r="D15" i="3"/>
  <c r="C13" i="3"/>
  <c r="C11" i="3"/>
  <c r="A37" i="6" l="1"/>
  <c r="A36" i="6"/>
  <c r="A31" i="6"/>
  <c r="A30" i="6"/>
  <c r="A29" i="6"/>
  <c r="A8" i="6"/>
  <c r="K65" i="3"/>
  <c r="K64" i="3"/>
  <c r="D65" i="3"/>
  <c r="A64" i="3"/>
  <c r="A59" i="3"/>
  <c r="K58" i="3"/>
  <c r="C54" i="3" l="1"/>
  <c r="F7" i="3"/>
  <c r="F6" i="3"/>
  <c r="F5" i="3"/>
  <c r="F4" i="3"/>
</calcChain>
</file>

<file path=xl/sharedStrings.xml><?xml version="1.0" encoding="utf-8"?>
<sst xmlns="http://schemas.openxmlformats.org/spreadsheetml/2006/main" count="190" uniqueCount="128">
  <si>
    <t>Nama Sekolah</t>
  </si>
  <si>
    <t>:</t>
  </si>
  <si>
    <t>Nama Kepala Sekolah</t>
  </si>
  <si>
    <t>NIP / NUPTK Kepala Sekolah</t>
  </si>
  <si>
    <t>Nama Guru</t>
  </si>
  <si>
    <t>NIP / NUPTK Guru</t>
  </si>
  <si>
    <t>Mata Pelajaran</t>
  </si>
  <si>
    <t>Kelas / Semester</t>
  </si>
  <si>
    <t>Tahun Pelajaran</t>
  </si>
  <si>
    <t>Kota dan Tanggal RPP</t>
  </si>
  <si>
    <t>No RPP</t>
  </si>
  <si>
    <t>Alokasi Waktu</t>
  </si>
  <si>
    <t>MENU UTAMA</t>
  </si>
  <si>
    <t>KEUNGGULAN APLIKASI INI ADALAH :</t>
  </si>
  <si>
    <t>1.</t>
  </si>
  <si>
    <t>Aplikasi ini sesuai dengan Surat Edaran Mendikbud No. 14 tahun 2019 tentang penyederhanaan rancangan pelaksanaan pembelajaran (RPP)</t>
  </si>
  <si>
    <t>Aplikasi ini sesuai dengan Permendikbud No.37 Tahun 2018 tentang Perubahan Atas Permendikbud Nomor 24 Tahun 2016 tentang Kompetensi Inti dan Kompetensi Dasar</t>
  </si>
  <si>
    <t>•</t>
  </si>
  <si>
    <t>Mengetahui,</t>
  </si>
  <si>
    <t>Guru Mata Pelajaran</t>
  </si>
  <si>
    <t>RENCANA PELAKSANAAN PEMBELAJARAN</t>
  </si>
  <si>
    <t>2025/2026</t>
  </si>
  <si>
    <t>Lampung, 13 Juli 2025</t>
  </si>
  <si>
    <t>-</t>
  </si>
  <si>
    <t>Dibuat khusus untuk mendukung pelaksanaan Kurikulum Merdeka Adaptasi Deep Learning</t>
  </si>
  <si>
    <t>APLIKASI RPP KURIKULUM MERDEKA      (DEEP LEARNING)</t>
  </si>
  <si>
    <t>Tujuan Pembelajaran</t>
  </si>
  <si>
    <t>Dimensi Profil Lulusan</t>
  </si>
  <si>
    <t>Penalaran kritis</t>
  </si>
  <si>
    <t>Dimensi 1</t>
  </si>
  <si>
    <t>Dimensi 2</t>
  </si>
  <si>
    <t>Dimensi 3</t>
  </si>
  <si>
    <t>Kelas / Semester (Fase)</t>
  </si>
  <si>
    <t>2x 40 Menit</t>
  </si>
  <si>
    <t>Tujuan 1</t>
  </si>
  <si>
    <t>Tujuan 2</t>
  </si>
  <si>
    <t>Kewargaan</t>
  </si>
  <si>
    <t>Kemandirian</t>
  </si>
  <si>
    <t>Materi Pokok</t>
  </si>
  <si>
    <t>Struktur sel dan fungsinya</t>
  </si>
  <si>
    <t>Pertumbuhan dan Perkembangan</t>
  </si>
  <si>
    <t>Pembelajaran dilakukan dengan suasana yang menyenangkan dan sederhana. Guru memanfaatkan lingkungan sekitar sekolah, seperti halaman, taman, atau ruang kelas, sebagai tempat belajar. Siswa diajak mengamati, bercerita, menggambar, dan menulis dengan cara yang sesuai dengan kemampuan mereka. Budaya belajar yang dikembangkan mendorong siswa aktif bertanya, berdiskusi, bekerja sama dalam kelompok kecil, dan berani bercerita di depan teman-teman.</t>
  </si>
  <si>
    <t>Isi Identitas di Bawah Ini</t>
  </si>
  <si>
    <t>Mitra Pembelajaran</t>
  </si>
  <si>
    <t>Lingkungan Pembelajaran</t>
  </si>
  <si>
    <t>Praktik Pedagogi (Metode)</t>
  </si>
  <si>
    <t>Guru mengajak siswa untuk mengamati gambar, benda nyata, atau video, lalu diminta mengemukakan pendapat dan pengalaman mereka yang relevan dengan materi. Guru mencatat ide-ide siswa sebagai dasar untuk melanjutkan ke tahap berikutnya.</t>
  </si>
  <si>
    <t>Guru menjelaskan materi pembelajaran secara menarik menggunakan alat peraga, cerita, atau media digital agar mudah dipahami siswa. Siswa kemudian diberikan tugas atau aktivitas seperti percobaan sederhana, permainan edukatif, atau kerja kelompok untuk memperdalam pemahaman. Dalam kelompok, siswa mendiskusikan tugas lalu mempresentasikan hasil kerja mereka di depan kelas. Guru membimbing dan memberi umpan balik selama proses berlangsung.</t>
  </si>
  <si>
    <t>RPP</t>
  </si>
  <si>
    <t>DEEP LEARNING</t>
  </si>
  <si>
    <t xml:space="preserve">Guru mengulas kembali materi pembelajaran dan memperkuat konsep-konsep penting yang telah dipelajari. Penjelasan tambahan diberikan untuk meluruskan pemahaman siswa yang kurang tepat. Guru memberi contoh lanjutan dan mengajak siswa menyimpulkan pelajaran hari ini secara bersama-sama. </t>
  </si>
  <si>
    <t>ILMU PENGETAHUAN ALAM</t>
  </si>
  <si>
    <t>Siswa dapat memahami tentang apa itu makhluk hidup</t>
  </si>
  <si>
    <t>siswa dapat menganalisis ciri-ciri makhluk hidup</t>
  </si>
  <si>
    <t>INPUT LANGKAH PEMBELAJARAN</t>
  </si>
  <si>
    <t>Guru mengkondisikan peserta didik dengan mengecek kehadiran peserta didik melalui lembar absensi dan mengisi jurnal kelas. Kemudian Guru bersama siswa mengingatkan kesepakatan kelas agar lebih kondusif untuk proses belajar mengajar.</t>
  </si>
  <si>
    <t>Pembelajaran berbasis masalah dengan Berdiskusi, Berkelompok dan Presentasi</t>
  </si>
  <si>
    <t>Lingkungan sekolah dan sekitarnya serta Komunitas masyarakat sekitar ataupun tenaga ahli profesi yang berkaitan dengan topik dibahas</t>
  </si>
  <si>
    <t>Pemanfaatan Digital</t>
  </si>
  <si>
    <t>Kembali ke Menu Utama</t>
  </si>
  <si>
    <t>Sistem Pencernaan</t>
  </si>
  <si>
    <t>Siswa dapat memahami Pertumbuhan dan perkembangan</t>
  </si>
  <si>
    <t>siswa dapat menganalisis ciri-ciri tumbuh dan berkembang</t>
  </si>
  <si>
    <t>Siswa dapat mengetahui dan memahami pengertian sistem pencernaan</t>
  </si>
  <si>
    <t>siswa dapat menganalisis proses terjadinya sistem pencernaan</t>
  </si>
  <si>
    <t xml:space="preserve">IDENTIFIKASI </t>
  </si>
  <si>
    <t>1. Peserta Didik</t>
  </si>
  <si>
    <t>2. Materi Pelajaran</t>
  </si>
  <si>
    <t>3. Dimensi Profil Lulusan</t>
  </si>
  <si>
    <t>A.</t>
  </si>
  <si>
    <t>B.</t>
  </si>
  <si>
    <t>DESAIN PEMBELAJARAN</t>
  </si>
  <si>
    <t>1. Tujuan Pembelajaran</t>
  </si>
  <si>
    <t>2. Praktik Pedagogik</t>
  </si>
  <si>
    <t>3. MITRA PEMBELAJARAN</t>
  </si>
  <si>
    <t>4. Pemanfaatan Digital</t>
  </si>
  <si>
    <t>5. Lingkungan Pembelajaran</t>
  </si>
  <si>
    <t>C.</t>
  </si>
  <si>
    <t>Inti (berkesadaran, bermakna, menggembirakan)</t>
  </si>
  <si>
    <t>PENGALAMAN BELAJAR</t>
  </si>
  <si>
    <t xml:space="preserve">D. </t>
  </si>
  <si>
    <t>ASESMEN PEMBELAJARAN</t>
  </si>
  <si>
    <t>1. Asesmen Awal</t>
  </si>
  <si>
    <t>2. Asesmen Formatif (pada proses pembelajaran)</t>
  </si>
  <si>
    <t>3. Asesmen sumatif (pada akhir pembelajaran)</t>
  </si>
  <si>
    <t>B. Mengaplikasi (Bermakna, Menggembirakan)</t>
  </si>
  <si>
    <t xml:space="preserve"> Awal (berkesan, bermakna)</t>
  </si>
  <si>
    <t>Guru menyampaikan tujuan pembelajaran secara jelas, disertai penjelasan manfaat yang dapat diperoleh peserta didik setelah mempelajari materi tersebut. Dengan mengetahui tujuan dan manfaatnya, peserta didik diharapkan memahami arah kegiatan yang akan dilakukan dan lebih termotivasi untuk mengikuti pembelajaran secara aktif dan penuh semangat.</t>
  </si>
  <si>
    <t>Mengorganisasi siswa untuk belajar</t>
  </si>
  <si>
    <t>Orientasi siswa pada masalah</t>
  </si>
  <si>
    <t xml:space="preserve">Membimbing penyelidikan </t>
  </si>
  <si>
    <t>Mengembangkan dan menyajikan hasil</t>
  </si>
  <si>
    <t>Menganalisis dan mengevaluasi pemecahan masalah</t>
  </si>
  <si>
    <t>A. Memahami (Berkesadaran, Bermakna)</t>
  </si>
  <si>
    <t>Penutup (Berkesadaran)</t>
  </si>
  <si>
    <t>C. Merefleksi (Berkesadaran, Bermakna)</t>
  </si>
  <si>
    <t>Refleksi</t>
  </si>
  <si>
    <t>Menganalisis dan mengevaluasi</t>
  </si>
  <si>
    <t>Mengembangkan dan menyajikan karya</t>
  </si>
  <si>
    <t>Membimbing penyelidikan</t>
  </si>
  <si>
    <t>Mengorganisasi siswa</t>
  </si>
  <si>
    <t>Guru membentuk kelompok berisi 4–5 siswa dan membagikan lembar kerja yang memuat tujuan pembelajaran, peran tiap anggota, serta daftar pertanyaan panduan yang harus dijawab melalui pencarian informasi.</t>
  </si>
  <si>
    <t>Guru mendampingi kelompok dalam menggali informasi dari berbagai sumber (internet, buku, wawancara, data statistik), serta memberikan pertanyaan pengarah seperti:
"Apa hubungan antara jumlah kendaraan bermotor dan kadar CO2 di udara?"</t>
  </si>
  <si>
    <t>Setiap kelompok menyusun presentasi hasil penyelidikan dalam bentuk infografis digital dan menyampaikannya di depan kelas menggunakan media presentasi (misalnya PowerPoint atau Canva).</t>
  </si>
  <si>
    <t>Siswa dan guru bersama-sama merefleksikan hasil tiap kelompok, membandingkan alternatif solusi, dan melakukan diskusi kelas untuk menentukan solusi paling tepat yang dapat diterapkan di lingkungan sekitar.</t>
  </si>
  <si>
    <t>Guru membagikan lembar refleksi pribadi dan memandu siswa menuliskan jawaban dari pertanyaan “Apa hal paling menarik yang kamu pelajari hari ini dan apa yang masih membingungkan?</t>
  </si>
  <si>
    <t>.</t>
  </si>
  <si>
    <t>Guru memberikan penguatan terhadap materi yang sudah dipelajari dengan memberikan penugasan dan menyampaikan rencana pembelajaran selanjutnya.</t>
  </si>
  <si>
    <t>Guru mengajak siswa menutup pembelajaran dengan doa sesuai keyakinan masing-masing, lalu menutup dengan salam.</t>
  </si>
  <si>
    <t>Sintaks Problem Based Learning</t>
  </si>
  <si>
    <t>Asesmen Awal</t>
  </si>
  <si>
    <t>Asesmen Formatif</t>
  </si>
  <si>
    <t>Asesmen Sumatif</t>
  </si>
  <si>
    <t>KEGIATAN ASESMEN</t>
  </si>
  <si>
    <t>Asesmen yang dilakukan diakhir kegiatan dapat berupa soal yang berisi pilihan ganda atau essai</t>
  </si>
  <si>
    <t>Asesmen yang dilakukan diawal pembelajaran dengan memberikan pertanyaan sederhana terkait materi yang akan dipelajari untuk mengukur pengetahuan awal</t>
  </si>
  <si>
    <t>Asesmen yang dilakukan selama proses pembelajaran, dapat dilihat berdasarkan keaktifan dalam tugas kelompok ataupun saat berdiskusi menyampaikan pendapat maupun pertanyaan</t>
  </si>
  <si>
    <t>Guru memberikan salam kepada peserta didik untuk mengawali pembelajaran dan dilanjutkan dengan Do'a dipimpin oleh ketua kelas.</t>
  </si>
  <si>
    <t>Guru mengajak siswa menyanyikan lagu indonesia raya untuk menguatkan nasionalisme dilanjutkan dengan ice breaking agar siswa lebih siap dan bersemangat mengikuti kegiatan berikutnya.</t>
  </si>
  <si>
    <t>siswa mampu menjelaskan tentang ciri-cir makhluk hidup</t>
  </si>
  <si>
    <t>Menampilkan video pembelajaran membantu peserta didik dalam proses pembelajaran melalui youtube ataupun memanfaatkan media publikasi website untuk mengeksplor materi</t>
  </si>
  <si>
    <t>Untuk Semua Mata Pelajaran di Jenjang SD, SMP dan SMA</t>
  </si>
  <si>
    <t>Guru membimbing siswa untuk menyimpulkan materi inti hari ini secara lisan atau tertulis, misalnya dengan bertanya “Siapa yang bisa menyebutkan kembali inti pembelajaran hari ini? Atau tuliskan 2 hal penting yang kalian pelajari hari ini!”.</t>
  </si>
  <si>
    <t>(DEEP LEARNING)</t>
  </si>
  <si>
    <t>SMA JAYA 1</t>
  </si>
  <si>
    <t>Hastian Y.A S.Kom</t>
  </si>
  <si>
    <t>ROHMAT</t>
  </si>
  <si>
    <t>II/ Ganjil (Fase 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</si>
</sst>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charset val="1"/>
      <scheme val="minor"/>
    </font>
    <font>
      <sz val="11"/>
      <color theme="0"/>
      <name val="Calibri"/>
      <family val="2"/>
      <charset val="1"/>
      <scheme val="minor"/>
    </font>
    <font>
      <u/>
      <sz val="11"/>
      <color theme="10"/>
      <name val="Calibri"/>
      <family val="2"/>
      <charset val="1"/>
      <scheme val="minor"/>
    </font>
    <font>
      <b/>
      <sz val="11"/>
      <color theme="1"/>
      <name val="Calibri"/>
      <family val="2"/>
      <charset val="1"/>
      <scheme val="minor"/>
    </font>
    <font>
      <sz val="12"/>
      <color theme="1"/>
      <name val="Calibri"/>
      <family val="2"/>
      <scheme val="minor"/>
    </font>
    <font>
      <b/>
      <sz val="12"/>
      <color theme="1"/>
      <name val="Arial"/>
      <family val="2"/>
    </font>
    <font>
      <b/>
      <sz val="11"/>
      <color theme="1"/>
      <name val="Arial"/>
      <family val="2"/>
    </font>
    <font>
      <b/>
      <sz val="11"/>
      <color rgb="FFFFFF00"/>
      <name val="Arial"/>
      <family val="2"/>
    </font>
    <font>
      <b/>
      <sz val="11"/>
      <color theme="8" tint="0.79998168889431442"/>
      <name val="Arial"/>
      <family val="2"/>
    </font>
    <font>
      <b/>
      <sz val="11"/>
      <color theme="0"/>
      <name val="Arial"/>
      <family val="2"/>
    </font>
    <font>
      <b/>
      <sz val="18"/>
      <color theme="1"/>
      <name val="Calibri"/>
      <family val="2"/>
      <scheme val="minor"/>
    </font>
    <font>
      <sz val="10"/>
      <color theme="1"/>
      <name val="Calibri"/>
      <family val="2"/>
      <scheme val="minor"/>
    </font>
    <font>
      <b/>
      <sz val="10"/>
      <color theme="1"/>
      <name val="Arial"/>
      <family val="2"/>
    </font>
    <font>
      <b/>
      <sz val="22"/>
      <color theme="0"/>
      <name val="Arial"/>
      <family val="2"/>
    </font>
    <font>
      <sz val="24"/>
      <color theme="1"/>
      <name val="Calibri"/>
      <family val="2"/>
      <scheme val="minor"/>
    </font>
    <font>
      <sz val="11"/>
      <color theme="1"/>
      <name val="Arial"/>
      <family val="2"/>
    </font>
    <font>
      <u/>
      <sz val="11"/>
      <color theme="1"/>
      <name val="Arial"/>
      <family val="2"/>
    </font>
    <font>
      <b/>
      <u/>
      <sz val="11"/>
      <color theme="1"/>
      <name val="Arial"/>
      <family val="2"/>
    </font>
    <font>
      <sz val="8"/>
      <name val="Calibri"/>
      <family val="2"/>
      <scheme val="minor"/>
    </font>
    <font>
      <b/>
      <sz val="36"/>
      <color theme="0"/>
      <name val="Calibri"/>
      <family val="2"/>
      <scheme val="minor"/>
    </font>
    <font>
      <b/>
      <sz val="18"/>
      <color theme="1"/>
      <name val="Arial"/>
      <family val="2"/>
    </font>
    <font>
      <sz val="16"/>
      <color theme="1"/>
      <name val="Arial"/>
      <family val="2"/>
    </font>
    <font>
      <sz val="12"/>
      <color theme="1"/>
      <name val="Arial"/>
      <family val="2"/>
    </font>
  </fonts>
  <fills count="1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3333FF"/>
        <bgColor indexed="64"/>
      </patternFill>
    </fill>
    <fill>
      <patternFill patternType="solid">
        <fgColor theme="5" tint="-0.249977111117893"/>
        <bgColor indexed="64"/>
      </patternFill>
    </fill>
    <fill>
      <patternFill patternType="solid">
        <fgColor rgb="FFFF00FF"/>
        <bgColor indexed="64"/>
      </patternFill>
    </fill>
    <fill>
      <patternFill patternType="solid">
        <fgColor rgb="FFFF0000"/>
        <bgColor indexed="64"/>
      </patternFill>
    </fill>
    <fill>
      <patternFill patternType="solid">
        <fgColor rgb="FF00FFFF"/>
        <bgColor indexed="64"/>
      </patternFill>
    </fill>
    <fill>
      <patternFill patternType="solid">
        <fgColor rgb="FFFFC000"/>
        <bgColor indexed="64"/>
      </patternFill>
    </fill>
    <fill>
      <patternFill patternType="solid">
        <fgColor rgb="FFC00000"/>
        <bgColor indexed="64"/>
      </patternFill>
    </fill>
    <fill>
      <patternFill patternType="solid">
        <fgColor theme="3" tint="0.79998168889431442"/>
        <bgColor indexed="64"/>
      </patternFill>
    </fill>
    <fill>
      <patternFill patternType="solid">
        <fgColor theme="4" tint="-0.249977111117893"/>
        <bgColor indexed="64"/>
      </patternFill>
    </fill>
    <fill>
      <patternFill patternType="solid">
        <fgColor theme="2" tint="-0.499984740745262"/>
        <bgColor indexed="64"/>
      </patternFill>
    </fill>
    <fill>
      <patternFill patternType="solid">
        <fgColor theme="0" tint="-0.249977111117893"/>
        <bgColor indexed="64"/>
      </patternFill>
    </fill>
  </fills>
  <borders count="29">
    <border>
      <left/>
      <right/>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s>
  <cellStyleXfs count="3">
    <xf numFmtId="0" fontId="0" fillId="0" borderId="0"/>
    <xf numFmtId="0" fontId="3" fillId="0" borderId="0"/>
    <xf numFmtId="0" fontId="5" fillId="0" borderId="0" applyNumberFormat="0" applyFill="0" applyBorder="0" applyAlignment="0" applyProtection="0"/>
  </cellStyleXfs>
  <cellXfs count="157">
    <xf numFmtId="0" fontId="0" fillId="0" borderId="0" xfId="0"/>
    <xf numFmtId="0" fontId="3" fillId="0" borderId="2" xfId="1" applyBorder="1" applyAlignment="1" applyProtection="1">
      <alignment horizontal="center" vertical="center"/>
      <protection hidden="1"/>
    </xf>
    <xf numFmtId="0" fontId="3" fillId="9" borderId="0" xfId="1" applyFill="1" applyProtection="1">
      <protection hidden="1"/>
    </xf>
    <xf numFmtId="0" fontId="15" fillId="9" borderId="0" xfId="1" applyFont="1" applyFill="1" applyProtection="1">
      <protection hidden="1"/>
    </xf>
    <xf numFmtId="0" fontId="2" fillId="2" borderId="0" xfId="1" applyFont="1" applyFill="1" applyAlignment="1" applyProtection="1">
      <alignment horizontal="center" vertical="center"/>
      <protection hidden="1"/>
    </xf>
    <xf numFmtId="0" fontId="7" fillId="11" borderId="3" xfId="1" applyFont="1" applyFill="1" applyBorder="1" applyAlignment="1" applyProtection="1">
      <alignment horizontal="left" vertical="center"/>
      <protection hidden="1"/>
    </xf>
    <xf numFmtId="1" fontId="14" fillId="3" borderId="0" xfId="1" applyNumberFormat="1" applyFont="1" applyFill="1" applyAlignment="1" applyProtection="1">
      <alignment horizontal="center"/>
      <protection hidden="1"/>
    </xf>
    <xf numFmtId="0" fontId="1" fillId="0" borderId="0" xfId="0" applyFont="1"/>
    <xf numFmtId="0" fontId="1" fillId="9" borderId="0" xfId="0" applyFont="1" applyFill="1"/>
    <xf numFmtId="0" fontId="18" fillId="3" borderId="0" xfId="1" applyFont="1" applyFill="1" applyProtection="1">
      <protection hidden="1"/>
    </xf>
    <xf numFmtId="0" fontId="18" fillId="3" borderId="0" xfId="1" applyFont="1" applyFill="1" applyAlignment="1" applyProtection="1">
      <alignment vertical="center"/>
      <protection hidden="1"/>
    </xf>
    <xf numFmtId="0" fontId="18" fillId="3" borderId="0" xfId="1" applyFont="1" applyFill="1" applyAlignment="1" applyProtection="1">
      <alignment horizontal="right" vertical="center"/>
      <protection hidden="1"/>
    </xf>
    <xf numFmtId="0" fontId="18" fillId="3" borderId="0" xfId="1" applyFont="1" applyFill="1" applyAlignment="1" applyProtection="1">
      <alignment horizontal="left"/>
      <protection hidden="1"/>
    </xf>
    <xf numFmtId="0" fontId="9" fillId="3" borderId="0" xfId="1" applyFont="1" applyFill="1" applyAlignment="1" applyProtection="1">
      <alignment horizontal="center" vertical="center"/>
      <protection hidden="1"/>
    </xf>
    <xf numFmtId="0" fontId="9" fillId="3" borderId="0" xfId="1" applyFont="1" applyFill="1" applyAlignment="1" applyProtection="1">
      <alignment vertical="center"/>
      <protection hidden="1"/>
    </xf>
    <xf numFmtId="0" fontId="18" fillId="3" borderId="0" xfId="1" applyFont="1" applyFill="1" applyAlignment="1" applyProtection="1">
      <alignment horizontal="right" vertical="top" wrapText="1"/>
      <protection hidden="1"/>
    </xf>
    <xf numFmtId="0" fontId="18" fillId="3" borderId="0" xfId="1" applyFont="1" applyFill="1" applyAlignment="1" applyProtection="1">
      <alignment horizontal="justify" vertical="justify" wrapText="1"/>
      <protection hidden="1"/>
    </xf>
    <xf numFmtId="0" fontId="18" fillId="3" borderId="0" xfId="1" applyFont="1" applyFill="1" applyAlignment="1" applyProtection="1">
      <alignment horizontal="center" vertical="center"/>
      <protection hidden="1"/>
    </xf>
    <xf numFmtId="0" fontId="0" fillId="13" borderId="0" xfId="0" applyFill="1"/>
    <xf numFmtId="0" fontId="16" fillId="13" borderId="0" xfId="1" applyFont="1" applyFill="1" applyAlignment="1" applyProtection="1">
      <alignment vertical="center"/>
      <protection hidden="1"/>
    </xf>
    <xf numFmtId="0" fontId="16" fillId="13" borderId="7" xfId="1" applyFont="1" applyFill="1" applyBorder="1" applyAlignment="1" applyProtection="1">
      <alignment vertical="center"/>
      <protection hidden="1"/>
    </xf>
    <xf numFmtId="0" fontId="16" fillId="13" borderId="8" xfId="1" applyFont="1" applyFill="1" applyBorder="1" applyAlignment="1" applyProtection="1">
      <alignment vertical="center"/>
      <protection hidden="1"/>
    </xf>
    <xf numFmtId="0" fontId="19" fillId="3" borderId="0" xfId="1" applyFont="1" applyFill="1" applyAlignment="1" applyProtection="1">
      <alignment horizontal="center"/>
      <protection hidden="1"/>
    </xf>
    <xf numFmtId="0" fontId="18" fillId="3" borderId="0" xfId="1" applyFont="1" applyFill="1" applyAlignment="1" applyProtection="1">
      <alignment horizontal="center"/>
      <protection hidden="1"/>
    </xf>
    <xf numFmtId="0" fontId="13" fillId="3" borderId="0" xfId="1" applyFont="1" applyFill="1" applyAlignment="1" applyProtection="1">
      <alignment horizontal="center"/>
      <protection hidden="1"/>
    </xf>
    <xf numFmtId="0" fontId="18" fillId="3" borderId="0" xfId="1" applyFont="1" applyFill="1" applyAlignment="1" applyProtection="1">
      <alignment vertical="top" wrapText="1"/>
      <protection hidden="1"/>
    </xf>
    <xf numFmtId="0" fontId="18" fillId="3" borderId="0" xfId="1" applyFont="1" applyFill="1" applyAlignment="1" applyProtection="1">
      <alignment horizontal="justify" vertical="top" wrapText="1"/>
      <protection hidden="1"/>
    </xf>
    <xf numFmtId="0" fontId="9" fillId="3" borderId="0" xfId="1" applyFont="1" applyFill="1" applyAlignment="1" applyProtection="1">
      <alignment horizontal="center" vertical="top"/>
      <protection hidden="1"/>
    </xf>
    <xf numFmtId="0" fontId="0" fillId="12" borderId="0" xfId="0" applyFill="1"/>
    <xf numFmtId="0" fontId="0" fillId="2" borderId="19" xfId="0" applyFill="1" applyBorder="1" applyAlignment="1" applyProtection="1">
      <alignment horizontal="left"/>
      <protection locked="0"/>
    </xf>
    <xf numFmtId="0" fontId="6" fillId="14" borderId="18" xfId="1" applyFont="1" applyFill="1" applyBorder="1" applyAlignment="1" applyProtection="1">
      <alignment horizontal="center" vertical="center"/>
      <protection hidden="1"/>
    </xf>
    <xf numFmtId="0" fontId="6" fillId="14" borderId="17" xfId="1" applyFont="1" applyFill="1" applyBorder="1" applyAlignment="1" applyProtection="1">
      <alignment horizontal="center" vertical="center" wrapText="1"/>
      <protection hidden="1"/>
    </xf>
    <xf numFmtId="0" fontId="3" fillId="2" borderId="3" xfId="1" applyFill="1" applyBorder="1" applyAlignment="1" applyProtection="1">
      <alignment horizontal="center" vertical="center" wrapText="1"/>
      <protection locked="0"/>
    </xf>
    <xf numFmtId="0" fontId="0" fillId="2" borderId="3" xfId="1" applyFont="1" applyFill="1" applyBorder="1" applyAlignment="1" applyProtection="1">
      <alignment vertical="center" wrapText="1"/>
      <protection locked="0"/>
    </xf>
    <xf numFmtId="0" fontId="3" fillId="2" borderId="3" xfId="1" applyFill="1" applyBorder="1" applyAlignment="1" applyProtection="1">
      <alignment vertical="center" wrapText="1"/>
      <protection locked="0"/>
    </xf>
    <xf numFmtId="0" fontId="0" fillId="2" borderId="3" xfId="0" applyFill="1" applyBorder="1" applyAlignment="1">
      <alignment wrapText="1"/>
    </xf>
    <xf numFmtId="0" fontId="7" fillId="11" borderId="0" xfId="1" applyFont="1" applyFill="1" applyAlignment="1" applyProtection="1">
      <alignment horizontal="center" vertical="center" wrapText="1"/>
      <protection hidden="1"/>
    </xf>
    <xf numFmtId="0" fontId="0" fillId="11" borderId="13" xfId="0" applyFill="1" applyBorder="1" applyAlignment="1" applyProtection="1">
      <alignment horizontal="left"/>
      <protection hidden="1"/>
    </xf>
    <xf numFmtId="0" fontId="0" fillId="11" borderId="15" xfId="0" applyFill="1" applyBorder="1" applyAlignment="1" applyProtection="1">
      <alignment horizontal="left"/>
      <protection hidden="1"/>
    </xf>
    <xf numFmtId="0" fontId="7" fillId="2" borderId="13" xfId="1" applyFont="1" applyFill="1" applyBorder="1" applyAlignment="1" applyProtection="1">
      <alignment horizontal="left" vertical="center"/>
      <protection locked="0"/>
    </xf>
    <xf numFmtId="1" fontId="7" fillId="2" borderId="13" xfId="1" quotePrefix="1" applyNumberFormat="1" applyFont="1" applyFill="1" applyBorder="1" applyAlignment="1" applyProtection="1">
      <alignment horizontal="left" vertical="center"/>
      <protection locked="0"/>
    </xf>
    <xf numFmtId="0" fontId="0" fillId="2" borderId="13" xfId="0" applyFill="1" applyBorder="1" applyAlignment="1" applyProtection="1">
      <alignment horizontal="left"/>
      <protection locked="0"/>
    </xf>
    <xf numFmtId="0" fontId="10" fillId="4" borderId="15" xfId="1" applyFont="1" applyFill="1" applyBorder="1" applyAlignment="1" applyProtection="1">
      <alignment horizontal="center" vertical="center"/>
      <protection hidden="1"/>
    </xf>
    <xf numFmtId="1" fontId="10" fillId="4" borderId="20" xfId="1" applyNumberFormat="1" applyFont="1" applyFill="1" applyBorder="1" applyAlignment="1" applyProtection="1">
      <alignment vertical="top"/>
      <protection hidden="1"/>
    </xf>
    <xf numFmtId="1" fontId="10" fillId="4" borderId="0" xfId="1" applyNumberFormat="1" applyFont="1" applyFill="1" applyAlignment="1" applyProtection="1">
      <alignment horizontal="center" vertical="top"/>
      <protection hidden="1"/>
    </xf>
    <xf numFmtId="0" fontId="10" fillId="4" borderId="0" xfId="2" applyFont="1" applyFill="1" applyBorder="1" applyAlignment="1" applyProtection="1">
      <alignment horizontal="center" vertical="center"/>
      <protection hidden="1"/>
    </xf>
    <xf numFmtId="0" fontId="0" fillId="2" borderId="3" xfId="0" applyFill="1" applyBorder="1" applyAlignment="1">
      <alignment vertical="center" wrapText="1"/>
    </xf>
    <xf numFmtId="0" fontId="3" fillId="3" borderId="3" xfId="1" applyFill="1" applyBorder="1" applyAlignment="1" applyProtection="1">
      <alignment horizontal="center" vertical="center"/>
      <protection locked="0"/>
    </xf>
    <xf numFmtId="0" fontId="3" fillId="3" borderId="0" xfId="1" applyFill="1" applyAlignment="1" applyProtection="1">
      <alignment horizontal="center" vertical="center"/>
      <protection locked="0"/>
    </xf>
    <xf numFmtId="0" fontId="3" fillId="3" borderId="0" xfId="1" applyFill="1" applyAlignment="1" applyProtection="1">
      <alignment vertical="center"/>
      <protection locked="0"/>
    </xf>
    <xf numFmtId="0" fontId="0" fillId="2" borderId="3" xfId="0" applyFill="1" applyBorder="1" applyAlignment="1">
      <alignment horizontal="justify" vertical="center" wrapText="1"/>
    </xf>
    <xf numFmtId="0" fontId="22" fillId="12" borderId="0" xfId="1" applyFont="1" applyFill="1" applyAlignment="1" applyProtection="1">
      <alignment vertical="center" wrapText="1"/>
      <protection hidden="1"/>
    </xf>
    <xf numFmtId="0" fontId="15" fillId="3" borderId="0" xfId="1" applyFont="1" applyFill="1" applyAlignment="1" applyProtection="1">
      <alignment vertical="center" wrapText="1"/>
      <protection hidden="1"/>
    </xf>
    <xf numFmtId="0" fontId="25" fillId="3" borderId="0" xfId="1" applyFont="1" applyFill="1" applyAlignment="1" applyProtection="1">
      <alignment horizontal="center" vertical="center" wrapText="1"/>
      <protection hidden="1"/>
    </xf>
    <xf numFmtId="0" fontId="25" fillId="3" borderId="0" xfId="1" applyFont="1" applyFill="1" applyAlignment="1" applyProtection="1">
      <alignment horizontal="center" vertical="top" wrapText="1"/>
      <protection hidden="1"/>
    </xf>
    <xf numFmtId="0" fontId="18" fillId="3" borderId="0" xfId="1" applyFont="1" applyFill="1" applyAlignment="1" applyProtection="1">
      <alignment vertical="top"/>
      <protection hidden="1"/>
    </xf>
    <xf numFmtId="0" fontId="25" fillId="3" borderId="0" xfId="1" applyFont="1" applyFill="1" applyAlignment="1" applyProtection="1">
      <alignment horizontal="right" vertical="top" wrapText="1"/>
      <protection hidden="1"/>
    </xf>
    <xf numFmtId="0" fontId="18" fillId="3" borderId="0" xfId="1" applyFont="1" applyFill="1" applyAlignment="1" applyProtection="1">
      <alignment horizontal="center" vertical="top"/>
      <protection hidden="1"/>
    </xf>
    <xf numFmtId="0" fontId="9" fillId="3" borderId="0" xfId="1" applyFont="1" applyFill="1" applyAlignment="1" applyProtection="1">
      <alignment horizontal="justify" vertical="top" wrapText="1"/>
      <protection hidden="1"/>
    </xf>
    <xf numFmtId="0" fontId="9" fillId="3" borderId="0" xfId="1" applyFont="1" applyFill="1" applyAlignment="1" applyProtection="1">
      <alignment horizontal="left" vertical="center"/>
      <protection hidden="1"/>
    </xf>
    <xf numFmtId="0" fontId="6" fillId="14" borderId="23" xfId="1" applyFont="1" applyFill="1" applyBorder="1" applyAlignment="1" applyProtection="1">
      <alignment horizontal="center" vertical="center" wrapText="1"/>
      <protection hidden="1"/>
    </xf>
    <xf numFmtId="0" fontId="6" fillId="14" borderId="3" xfId="1" applyFont="1" applyFill="1" applyBorder="1" applyAlignment="1" applyProtection="1">
      <alignment horizontal="center" vertical="center" wrapText="1"/>
      <protection hidden="1"/>
    </xf>
    <xf numFmtId="0" fontId="6" fillId="14" borderId="13" xfId="1" applyFont="1" applyFill="1" applyBorder="1" applyAlignment="1" applyProtection="1">
      <alignment horizontal="center" vertical="center" wrapText="1"/>
      <protection hidden="1"/>
    </xf>
    <xf numFmtId="0" fontId="9" fillId="3" borderId="0" xfId="1" applyFont="1" applyFill="1" applyAlignment="1" applyProtection="1">
      <alignment horizontal="center"/>
      <protection hidden="1"/>
    </xf>
    <xf numFmtId="0" fontId="9" fillId="0" borderId="0" xfId="0" applyFont="1" applyAlignment="1">
      <alignment horizontal="left" vertical="center" wrapText="1"/>
    </xf>
    <xf numFmtId="0" fontId="18" fillId="3" borderId="0" xfId="1" applyFont="1" applyFill="1" applyAlignment="1" applyProtection="1">
      <alignment vertical="center" wrapText="1"/>
      <protection hidden="1"/>
    </xf>
    <xf numFmtId="0" fontId="25" fillId="3" borderId="0" xfId="1" applyFont="1" applyFill="1" applyAlignment="1" applyProtection="1">
      <alignment horizontal="left" vertical="top" wrapText="1"/>
      <protection hidden="1"/>
    </xf>
    <xf numFmtId="0" fontId="18" fillId="0" borderId="13" xfId="0" applyFont="1" applyBorder="1" applyAlignment="1">
      <alignment horizontal="center" vertical="top" wrapText="1"/>
    </xf>
    <xf numFmtId="0" fontId="10" fillId="4" borderId="0" xfId="1" applyFont="1" applyFill="1" applyAlignment="1" applyProtection="1">
      <alignment horizontal="left" vertical="top" wrapText="1"/>
      <protection hidden="1"/>
    </xf>
    <xf numFmtId="0" fontId="10" fillId="4" borderId="0" xfId="1" quotePrefix="1" applyFont="1" applyFill="1" applyAlignment="1" applyProtection="1">
      <alignment horizontal="center" vertical="top"/>
      <protection hidden="1"/>
    </xf>
    <xf numFmtId="0" fontId="8" fillId="6" borderId="4" xfId="1" applyFont="1" applyFill="1" applyBorder="1" applyAlignment="1" applyProtection="1">
      <alignment horizontal="center" vertical="center"/>
      <protection hidden="1"/>
    </xf>
    <xf numFmtId="0" fontId="8" fillId="6" borderId="5" xfId="1" applyFont="1" applyFill="1" applyBorder="1" applyAlignment="1" applyProtection="1">
      <alignment horizontal="center" vertical="center"/>
      <protection hidden="1"/>
    </xf>
    <xf numFmtId="0" fontId="8" fillId="6" borderId="6" xfId="1" applyFont="1" applyFill="1" applyBorder="1" applyAlignment="1" applyProtection="1">
      <alignment horizontal="center" vertical="center"/>
      <protection hidden="1"/>
    </xf>
    <xf numFmtId="0" fontId="8" fillId="6" borderId="0" xfId="1" applyFont="1" applyFill="1" applyAlignment="1" applyProtection="1">
      <alignment horizontal="center" vertical="center"/>
      <protection hidden="1"/>
    </xf>
    <xf numFmtId="0" fontId="7" fillId="11" borderId="3" xfId="1" applyFont="1" applyFill="1" applyBorder="1" applyAlignment="1" applyProtection="1">
      <alignment horizontal="left" vertical="center"/>
      <protection hidden="1"/>
    </xf>
    <xf numFmtId="0" fontId="7" fillId="11" borderId="13" xfId="0" applyFont="1" applyFill="1" applyBorder="1" applyAlignment="1" applyProtection="1">
      <alignment horizontal="left" vertical="center"/>
      <protection hidden="1"/>
    </xf>
    <xf numFmtId="0" fontId="7" fillId="11" borderId="1" xfId="0" applyFont="1" applyFill="1" applyBorder="1" applyAlignment="1" applyProtection="1">
      <alignment horizontal="left" vertical="center"/>
      <protection hidden="1"/>
    </xf>
    <xf numFmtId="0" fontId="10" fillId="4" borderId="18" xfId="1" applyFont="1" applyFill="1" applyBorder="1" applyAlignment="1" applyProtection="1">
      <alignment horizontal="left" vertical="justify" wrapText="1"/>
      <protection hidden="1"/>
    </xf>
    <xf numFmtId="0" fontId="10" fillId="4" borderId="16" xfId="1" applyFont="1" applyFill="1" applyBorder="1" applyAlignment="1" applyProtection="1">
      <alignment horizontal="left" vertical="justify" wrapText="1"/>
      <protection hidden="1"/>
    </xf>
    <xf numFmtId="0" fontId="10" fillId="4" borderId="0" xfId="1" applyFont="1" applyFill="1" applyAlignment="1" applyProtection="1">
      <alignment horizontal="left" vertical="justify" wrapText="1"/>
      <protection hidden="1"/>
    </xf>
    <xf numFmtId="0" fontId="10" fillId="4" borderId="19" xfId="1" applyFont="1" applyFill="1" applyBorder="1" applyAlignment="1" applyProtection="1">
      <alignment horizontal="left" vertical="justify" wrapText="1"/>
      <protection hidden="1"/>
    </xf>
    <xf numFmtId="0" fontId="16" fillId="13" borderId="0" xfId="1" applyFont="1" applyFill="1" applyAlignment="1" applyProtection="1">
      <alignment horizontal="left" vertical="center" wrapText="1"/>
      <protection hidden="1"/>
    </xf>
    <xf numFmtId="0" fontId="16" fillId="13" borderId="8" xfId="1" applyFont="1" applyFill="1" applyBorder="1" applyAlignment="1" applyProtection="1">
      <alignment horizontal="left" vertical="center" wrapText="1"/>
      <protection hidden="1"/>
    </xf>
    <xf numFmtId="0" fontId="11" fillId="5" borderId="9" xfId="1" applyFont="1" applyFill="1" applyBorder="1" applyAlignment="1" applyProtection="1">
      <alignment horizontal="center" vertical="center"/>
      <protection hidden="1"/>
    </xf>
    <xf numFmtId="0" fontId="11" fillId="5" borderId="10" xfId="1" applyFont="1" applyFill="1" applyBorder="1" applyAlignment="1" applyProtection="1">
      <alignment horizontal="center" vertical="center"/>
      <protection hidden="1"/>
    </xf>
    <xf numFmtId="0" fontId="11" fillId="5" borderId="8" xfId="1" applyFont="1" applyFill="1" applyBorder="1" applyAlignment="1" applyProtection="1">
      <alignment horizontal="center" vertical="center"/>
      <protection hidden="1"/>
    </xf>
    <xf numFmtId="0" fontId="12" fillId="7" borderId="22" xfId="1" applyFont="1" applyFill="1" applyBorder="1" applyAlignment="1" applyProtection="1">
      <alignment horizontal="center" vertical="center"/>
      <protection hidden="1"/>
    </xf>
    <xf numFmtId="0" fontId="12" fillId="7" borderId="5" xfId="1" applyFont="1" applyFill="1" applyBorder="1" applyAlignment="1" applyProtection="1">
      <alignment horizontal="center" vertical="center"/>
      <protection hidden="1"/>
    </xf>
    <xf numFmtId="0" fontId="9" fillId="8" borderId="11" xfId="1" applyFont="1" applyFill="1" applyBorder="1" applyAlignment="1" applyProtection="1">
      <alignment horizontal="center" vertical="center"/>
      <protection hidden="1"/>
    </xf>
    <xf numFmtId="0" fontId="9" fillId="8" borderId="12" xfId="1" applyFont="1" applyFill="1" applyBorder="1" applyAlignment="1" applyProtection="1">
      <alignment horizontal="center" vertical="center"/>
      <protection hidden="1"/>
    </xf>
    <xf numFmtId="0" fontId="9" fillId="8" borderId="21" xfId="1" applyFont="1" applyFill="1" applyBorder="1" applyAlignment="1" applyProtection="1">
      <alignment horizontal="center" vertical="center"/>
      <protection hidden="1"/>
    </xf>
    <xf numFmtId="0" fontId="0" fillId="0" borderId="0" xfId="0" applyAlignment="1">
      <alignment horizontal="center"/>
    </xf>
    <xf numFmtId="0" fontId="23" fillId="0" borderId="0" xfId="0" applyFont="1" applyAlignment="1">
      <alignment horizontal="center"/>
    </xf>
    <xf numFmtId="0" fontId="23" fillId="0" borderId="0" xfId="0" applyFont="1" applyAlignment="1">
      <alignment horizontal="center" vertical="center"/>
    </xf>
    <xf numFmtId="0" fontId="24" fillId="0" borderId="0" xfId="0" applyFont="1" applyAlignment="1">
      <alignment horizontal="center"/>
    </xf>
    <xf numFmtId="0" fontId="18" fillId="0" borderId="0" xfId="0" applyFont="1" applyAlignment="1">
      <alignment horizontal="center"/>
    </xf>
    <xf numFmtId="0" fontId="22" fillId="12" borderId="0" xfId="1" applyFont="1" applyFill="1" applyAlignment="1" applyProtection="1">
      <alignment horizontal="center" vertical="center" wrapText="1"/>
      <protection hidden="1"/>
    </xf>
    <xf numFmtId="0" fontId="6" fillId="14" borderId="13" xfId="1" applyFont="1" applyFill="1" applyBorder="1" applyAlignment="1" applyProtection="1">
      <alignment horizontal="center" vertical="center"/>
      <protection hidden="1"/>
    </xf>
    <xf numFmtId="0" fontId="6" fillId="14" borderId="14" xfId="1" applyFont="1" applyFill="1" applyBorder="1" applyAlignment="1" applyProtection="1">
      <alignment horizontal="center" vertical="center"/>
      <protection hidden="1"/>
    </xf>
    <xf numFmtId="0" fontId="6" fillId="14" borderId="1" xfId="1" applyFont="1" applyFill="1" applyBorder="1" applyAlignment="1" applyProtection="1">
      <alignment horizontal="center" vertical="center"/>
      <protection hidden="1"/>
    </xf>
    <xf numFmtId="0" fontId="0" fillId="14" borderId="3" xfId="0" applyFill="1" applyBorder="1" applyAlignment="1">
      <alignment horizontal="center" vertical="center"/>
    </xf>
    <xf numFmtId="0" fontId="6" fillId="14" borderId="23" xfId="1" applyFont="1" applyFill="1" applyBorder="1" applyAlignment="1" applyProtection="1">
      <alignment horizontal="center" vertical="center" wrapText="1"/>
      <protection hidden="1"/>
    </xf>
    <xf numFmtId="0" fontId="6" fillId="14" borderId="24" xfId="1" applyFont="1" applyFill="1" applyBorder="1" applyAlignment="1" applyProtection="1">
      <alignment horizontal="center" vertical="center" wrapText="1"/>
      <protection hidden="1"/>
    </xf>
    <xf numFmtId="0" fontId="4" fillId="10" borderId="6" xfId="1" applyFont="1" applyFill="1" applyBorder="1" applyAlignment="1" applyProtection="1">
      <alignment horizontal="center" vertical="center"/>
      <protection hidden="1"/>
    </xf>
    <xf numFmtId="0" fontId="4" fillId="10" borderId="0" xfId="1" applyFont="1" applyFill="1" applyAlignment="1" applyProtection="1">
      <alignment horizontal="center" vertical="center"/>
      <protection hidden="1"/>
    </xf>
    <xf numFmtId="0" fontId="7" fillId="11" borderId="20" xfId="1" applyFont="1" applyFill="1" applyBorder="1" applyAlignment="1" applyProtection="1">
      <alignment horizontal="center" vertical="center" wrapText="1"/>
      <protection hidden="1"/>
    </xf>
    <xf numFmtId="0" fontId="7" fillId="11" borderId="0" xfId="1" applyFont="1" applyFill="1" applyAlignment="1" applyProtection="1">
      <alignment horizontal="center" vertical="center" wrapText="1"/>
      <protection hidden="1"/>
    </xf>
    <xf numFmtId="0" fontId="6" fillId="14" borderId="3" xfId="1" applyFont="1" applyFill="1" applyBorder="1" applyAlignment="1" applyProtection="1">
      <alignment horizontal="center" vertical="center" wrapText="1"/>
      <protection hidden="1"/>
    </xf>
    <xf numFmtId="0" fontId="2" fillId="14" borderId="3" xfId="0" applyFont="1" applyFill="1" applyBorder="1" applyAlignment="1">
      <alignment horizontal="center" vertical="center"/>
    </xf>
    <xf numFmtId="0" fontId="0" fillId="2" borderId="3" xfId="0" applyFill="1" applyBorder="1" applyAlignment="1" applyProtection="1">
      <alignment horizontal="left"/>
      <protection locked="0"/>
    </xf>
    <xf numFmtId="0" fontId="2" fillId="14" borderId="17" xfId="0" applyFont="1" applyFill="1" applyBorder="1" applyAlignment="1">
      <alignment horizontal="center" vertical="center"/>
    </xf>
    <xf numFmtId="0" fontId="2" fillId="14" borderId="25" xfId="0" applyFont="1" applyFill="1" applyBorder="1" applyAlignment="1">
      <alignment horizontal="center" vertical="center"/>
    </xf>
    <xf numFmtId="0" fontId="6" fillId="14" borderId="13" xfId="1" applyFont="1" applyFill="1" applyBorder="1" applyAlignment="1" applyProtection="1">
      <alignment horizontal="center" vertical="center" wrapText="1"/>
      <protection hidden="1"/>
    </xf>
    <xf numFmtId="0" fontId="6" fillId="14" borderId="14" xfId="1" applyFont="1" applyFill="1" applyBorder="1" applyAlignment="1" applyProtection="1">
      <alignment horizontal="center" vertical="center" wrapText="1"/>
      <protection hidden="1"/>
    </xf>
    <xf numFmtId="0" fontId="6" fillId="14" borderId="1" xfId="1" applyFont="1" applyFill="1" applyBorder="1" applyAlignment="1" applyProtection="1">
      <alignment horizontal="center" vertical="center" wrapText="1"/>
      <protection hidden="1"/>
    </xf>
    <xf numFmtId="0" fontId="6" fillId="14" borderId="17" xfId="1" applyFont="1" applyFill="1" applyBorder="1" applyAlignment="1" applyProtection="1">
      <alignment horizontal="center" vertical="center" wrapText="1"/>
      <protection hidden="1"/>
    </xf>
    <xf numFmtId="0" fontId="6" fillId="14" borderId="25" xfId="1" applyFont="1" applyFill="1" applyBorder="1" applyAlignment="1" applyProtection="1">
      <alignment horizontal="center" vertical="center" wrapText="1"/>
      <protection hidden="1"/>
    </xf>
    <xf numFmtId="0" fontId="18" fillId="3" borderId="0" xfId="1" applyFont="1" applyFill="1" applyAlignment="1" applyProtection="1">
      <alignment horizontal="left" vertical="top" wrapText="1"/>
      <protection hidden="1"/>
    </xf>
    <xf numFmtId="0" fontId="9" fillId="0" borderId="3" xfId="0" applyFont="1" applyBorder="1" applyAlignment="1">
      <alignment horizontal="left" vertical="center" wrapText="1"/>
    </xf>
    <xf numFmtId="0" fontId="18" fillId="3" borderId="3" xfId="1" applyFont="1" applyFill="1" applyBorder="1" applyAlignment="1" applyProtection="1">
      <alignment horizontal="left" vertical="center" wrapText="1"/>
      <protection hidden="1"/>
    </xf>
    <xf numFmtId="0" fontId="18" fillId="3" borderId="13" xfId="1" applyFont="1" applyFill="1" applyBorder="1" applyAlignment="1" applyProtection="1">
      <alignment horizontal="justify" vertical="top" wrapText="1"/>
      <protection hidden="1"/>
    </xf>
    <xf numFmtId="0" fontId="18" fillId="3" borderId="14" xfId="1" applyFont="1" applyFill="1" applyBorder="1" applyAlignment="1" applyProtection="1">
      <alignment horizontal="justify" vertical="top" wrapText="1"/>
      <protection hidden="1"/>
    </xf>
    <xf numFmtId="0" fontId="18" fillId="3" borderId="1" xfId="1" applyFont="1" applyFill="1" applyBorder="1" applyAlignment="1" applyProtection="1">
      <alignment horizontal="justify" vertical="top" wrapText="1"/>
      <protection hidden="1"/>
    </xf>
    <xf numFmtId="0" fontId="9" fillId="3" borderId="0" xfId="1" applyFont="1" applyFill="1" applyAlignment="1" applyProtection="1">
      <alignment horizontal="left" vertical="top" wrapText="1"/>
      <protection hidden="1"/>
    </xf>
    <xf numFmtId="0" fontId="18" fillId="3" borderId="0" xfId="1" applyFont="1" applyFill="1" applyAlignment="1" applyProtection="1">
      <alignment horizontal="justify" vertical="top" wrapText="1"/>
      <protection hidden="1"/>
    </xf>
    <xf numFmtId="0" fontId="18" fillId="3" borderId="3" xfId="1" applyFont="1" applyFill="1" applyBorder="1" applyAlignment="1" applyProtection="1">
      <alignment vertical="center" wrapText="1"/>
      <protection hidden="1"/>
    </xf>
    <xf numFmtId="0" fontId="0" fillId="0" borderId="0" xfId="0" applyAlignment="1">
      <alignment horizontal="center" vertical="top"/>
    </xf>
    <xf numFmtId="0" fontId="0" fillId="0" borderId="19" xfId="0" applyBorder="1" applyAlignment="1">
      <alignment horizontal="center" vertical="top"/>
    </xf>
    <xf numFmtId="0" fontId="9" fillId="3" borderId="0" xfId="1" applyFont="1" applyFill="1" applyAlignment="1" applyProtection="1">
      <alignment horizontal="left" vertical="center" wrapText="1"/>
      <protection hidden="1"/>
    </xf>
    <xf numFmtId="0" fontId="9" fillId="3" borderId="0" xfId="1" applyFont="1" applyFill="1" applyAlignment="1" applyProtection="1">
      <alignment horizontal="justify" vertical="top" wrapText="1"/>
      <protection hidden="1"/>
    </xf>
    <xf numFmtId="0" fontId="9" fillId="3" borderId="26" xfId="1" applyFont="1" applyFill="1" applyBorder="1" applyAlignment="1" applyProtection="1">
      <alignment vertical="top"/>
      <protection hidden="1"/>
    </xf>
    <xf numFmtId="0" fontId="18" fillId="0" borderId="14" xfId="0" applyFont="1" applyBorder="1" applyAlignment="1">
      <alignment horizontal="justify" vertical="top" wrapText="1"/>
    </xf>
    <xf numFmtId="0" fontId="18" fillId="0" borderId="1" xfId="0" applyFont="1" applyBorder="1" applyAlignment="1">
      <alignment horizontal="justify" vertical="top" wrapText="1"/>
    </xf>
    <xf numFmtId="0" fontId="17" fillId="11" borderId="0" xfId="0" applyFont="1" applyFill="1" applyAlignment="1">
      <alignment horizontal="left" vertical="top" wrapText="1"/>
    </xf>
    <xf numFmtId="0" fontId="13" fillId="3" borderId="0" xfId="1" applyFont="1" applyFill="1" applyAlignment="1" applyProtection="1">
      <alignment horizontal="center"/>
      <protection hidden="1"/>
    </xf>
    <xf numFmtId="0" fontId="9" fillId="3" borderId="0" xfId="1" applyFont="1" applyFill="1" applyAlignment="1" applyProtection="1">
      <alignment horizontal="left" vertical="center"/>
      <protection hidden="1"/>
    </xf>
    <xf numFmtId="0" fontId="18" fillId="3" borderId="0" xfId="1" quotePrefix="1" applyFont="1" applyFill="1" applyAlignment="1" applyProtection="1">
      <alignment horizontal="justify" vertical="top" wrapText="1" shrinkToFit="1"/>
      <protection hidden="1"/>
    </xf>
    <xf numFmtId="0" fontId="18" fillId="3" borderId="14" xfId="1" applyFont="1" applyFill="1" applyBorder="1" applyAlignment="1" applyProtection="1">
      <alignment horizontal="left" vertical="top" wrapText="1"/>
      <protection hidden="1"/>
    </xf>
    <xf numFmtId="0" fontId="18" fillId="3" borderId="1" xfId="1" applyFont="1" applyFill="1" applyBorder="1" applyAlignment="1" applyProtection="1">
      <alignment horizontal="left" vertical="top" wrapText="1"/>
      <protection hidden="1"/>
    </xf>
    <xf numFmtId="0" fontId="18" fillId="0" borderId="3" xfId="0" applyFont="1" applyBorder="1" applyAlignment="1">
      <alignment vertical="center" wrapText="1"/>
    </xf>
    <xf numFmtId="0" fontId="9" fillId="3" borderId="0" xfId="1" applyFont="1" applyFill="1" applyAlignment="1" applyProtection="1">
      <alignment horizontal="justify" wrapText="1"/>
      <protection hidden="1"/>
    </xf>
    <xf numFmtId="0" fontId="9" fillId="3" borderId="0" xfId="1" applyFont="1" applyFill="1" applyAlignment="1" applyProtection="1">
      <alignment horizontal="left"/>
      <protection hidden="1"/>
    </xf>
    <xf numFmtId="0" fontId="9" fillId="0" borderId="15" xfId="0" applyFont="1" applyBorder="1" applyAlignment="1">
      <alignment horizontal="left" vertical="center" wrapText="1"/>
    </xf>
    <xf numFmtId="0" fontId="9" fillId="0" borderId="18" xfId="0" applyFont="1" applyBorder="1" applyAlignment="1">
      <alignment horizontal="left" vertical="center" wrapText="1"/>
    </xf>
    <xf numFmtId="0" fontId="9" fillId="0" borderId="16" xfId="0" applyFont="1" applyBorder="1" applyAlignment="1">
      <alignment horizontal="left" vertical="center" wrapText="1"/>
    </xf>
    <xf numFmtId="0" fontId="9" fillId="0" borderId="20" xfId="0" applyFont="1" applyBorder="1" applyAlignment="1">
      <alignment horizontal="left" vertical="center" wrapText="1"/>
    </xf>
    <xf numFmtId="0" fontId="9" fillId="0" borderId="0" xfId="0" applyFont="1" applyAlignment="1">
      <alignment horizontal="left" vertical="center" wrapText="1"/>
    </xf>
    <xf numFmtId="0" fontId="9" fillId="0" borderId="19" xfId="0" applyFont="1" applyBorder="1" applyAlignment="1">
      <alignment horizontal="left" vertical="center" wrapText="1"/>
    </xf>
    <xf numFmtId="0" fontId="9" fillId="0" borderId="28" xfId="0" applyFont="1" applyBorder="1" applyAlignment="1">
      <alignment horizontal="left" vertical="center" wrapText="1"/>
    </xf>
    <xf numFmtId="0" fontId="9" fillId="0" borderId="26" xfId="0" applyFont="1" applyBorder="1" applyAlignment="1">
      <alignment horizontal="left" vertical="center" wrapText="1"/>
    </xf>
    <xf numFmtId="0" fontId="9" fillId="0" borderId="27" xfId="0" applyFont="1" applyBorder="1" applyAlignment="1">
      <alignment horizontal="left" vertical="center" wrapText="1"/>
    </xf>
    <xf numFmtId="1" fontId="14" fillId="3" borderId="0" xfId="1" applyNumberFormat="1" applyFont="1" applyFill="1" applyAlignment="1" applyProtection="1">
      <alignment horizontal="center"/>
      <protection hidden="1"/>
    </xf>
    <xf numFmtId="0" fontId="18" fillId="3" borderId="0" xfId="1" applyFont="1" applyFill="1" applyAlignment="1" applyProtection="1">
      <alignment horizontal="center" vertical="center"/>
      <protection hidden="1"/>
    </xf>
    <xf numFmtId="0" fontId="20" fillId="3" borderId="0" xfId="1" applyFont="1" applyFill="1" applyAlignment="1" applyProtection="1">
      <alignment horizontal="center" vertical="center"/>
      <protection hidden="1"/>
    </xf>
    <xf numFmtId="1" fontId="14" fillId="3" borderId="0" xfId="1" applyNumberFormat="1" applyFont="1" applyFill="1" applyAlignment="1" applyProtection="1">
      <alignment horizontal="center" vertical="center"/>
      <protection hidden="1"/>
    </xf>
    <xf numFmtId="0" fontId="20" fillId="3" borderId="0" xfId="1" applyFont="1" applyFill="1" applyAlignment="1" applyProtection="1">
      <alignment horizontal="center"/>
      <protection hidden="1"/>
    </xf>
    <xf numFmtId="0" fontId="18" fillId="3" borderId="0" xfId="1" applyFont="1" applyFill="1" applyAlignment="1" applyProtection="1">
      <alignment horizontal="center"/>
      <protection hidden="1"/>
    </xf>
  </cellXfs>
  <cellStyles count="3">
    <cellStyle name="Hyperlink" xfId="2" builtinId="8"/>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Spin" dx="31" fmlaLink="$M$1" max="30000" page="10" val="0"/>
</file>

<file path=xl/drawings/_rels/drawing1.xml.rels><?xml version="1.0" encoding="UTF-8" standalone="yes"?>
<Relationships xmlns="http://schemas.openxmlformats.org/package/2006/relationships"><Relationship Id="rId3" Type="http://schemas.openxmlformats.org/officeDocument/2006/relationships/hyperlink" Target="#'Langkah Pembelajaran'!A1"/><Relationship Id="rId2" Type="http://schemas.openxmlformats.org/officeDocument/2006/relationships/hyperlink" Target="#'Desain Pembelajaran'!A1"/><Relationship Id="rId1" Type="http://schemas.openxmlformats.org/officeDocument/2006/relationships/image" Target="../media/image1.png"/><Relationship Id="rId6" Type="http://schemas.openxmlformats.org/officeDocument/2006/relationships/hyperlink" Target="#'cetak RPP'!A1"/><Relationship Id="rId5" Type="http://schemas.openxmlformats.org/officeDocument/2006/relationships/hyperlink" Target="#Cover!A1"/><Relationship Id="rId4" Type="http://schemas.openxmlformats.org/officeDocument/2006/relationships/hyperlink" Target="#'Asesmen '!A1"/></Relationships>
</file>

<file path=xl/drawings/_rels/drawing2.xml.rels><?xml version="1.0" encoding="UTF-8" standalone="yes"?>
<Relationships xmlns="http://schemas.openxmlformats.org/package/2006/relationships"><Relationship Id="rId3" Type="http://schemas.openxmlformats.org/officeDocument/2006/relationships/image" Target="../media/image3.gif"/><Relationship Id="rId2" Type="http://schemas.openxmlformats.org/officeDocument/2006/relationships/hyperlink" Target="#'HALAMAN AWAL'!A1"/><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hyperlink" Target="#'HALAMAN AWAL'!A1"/></Relationships>
</file>

<file path=xl/drawings/_rels/drawing4.xml.rels><?xml version="1.0" encoding="UTF-8" standalone="yes"?>
<Relationships xmlns="http://schemas.openxmlformats.org/package/2006/relationships"><Relationship Id="rId1" Type="http://schemas.openxmlformats.org/officeDocument/2006/relationships/hyperlink" Target="#'HALAMAN AWAL'!A1"/></Relationships>
</file>

<file path=xl/drawings/_rels/drawing5.xml.rels><?xml version="1.0" encoding="UTF-8" standalone="yes"?>
<Relationships xmlns="http://schemas.openxmlformats.org/package/2006/relationships"><Relationship Id="rId1" Type="http://schemas.openxmlformats.org/officeDocument/2006/relationships/hyperlink" Target="#'HALAMAN AWAL'!A1"/></Relationships>
</file>

<file path=xl/drawings/_rels/drawing6.xml.rels><?xml version="1.0" encoding="UTF-8" standalone="yes"?>
<Relationships xmlns="http://schemas.openxmlformats.org/package/2006/relationships"><Relationship Id="rId2" Type="http://schemas.openxmlformats.org/officeDocument/2006/relationships/image" Target="../media/image3.gif"/><Relationship Id="rId1" Type="http://schemas.openxmlformats.org/officeDocument/2006/relationships/hyperlink" Target="#'HALAMAN AWAL'!A1"/></Relationships>
</file>

<file path=xl/drawings/drawing1.xml><?xml version="1.0" encoding="utf-8"?>
<xdr:wsDr xmlns:xdr="http://schemas.openxmlformats.org/drawingml/2006/spreadsheetDrawing" xmlns:a="http://schemas.openxmlformats.org/drawingml/2006/main">
  <xdr:twoCellAnchor editAs="oneCell">
    <xdr:from>
      <xdr:col>0</xdr:col>
      <xdr:colOff>91325</xdr:colOff>
      <xdr:row>0</xdr:row>
      <xdr:rowOff>38719</xdr:rowOff>
    </xdr:from>
    <xdr:to>
      <xdr:col>0</xdr:col>
      <xdr:colOff>844085</xdr:colOff>
      <xdr:row>1</xdr:row>
      <xdr:rowOff>608573</xdr:rowOff>
    </xdr:to>
    <xdr:pic>
      <xdr:nvPicPr>
        <xdr:cNvPr id="7" name="Gambar 6" descr="Berkas:Logo of Ministry of Education and Culture of Republic ...">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325" y="38719"/>
          <a:ext cx="752760" cy="7557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1544909</xdr:colOff>
      <xdr:row>3</xdr:row>
      <xdr:rowOff>131647</xdr:rowOff>
    </xdr:from>
    <xdr:to>
      <xdr:col>3</xdr:col>
      <xdr:colOff>770517</xdr:colOff>
      <xdr:row>4</xdr:row>
      <xdr:rowOff>100671</xdr:rowOff>
    </xdr:to>
    <xdr:sp macro="" textlink="">
      <xdr:nvSpPr>
        <xdr:cNvPr id="5" name="Persegi Panjang: Sudut Lengkung 4">
          <a:hlinkClick xmlns:r="http://schemas.openxmlformats.org/officeDocument/2006/relationships" r:id="rId2"/>
          <a:extLst>
            <a:ext uri="{FF2B5EF4-FFF2-40B4-BE49-F238E27FC236}">
              <a16:creationId xmlns:a16="http://schemas.microsoft.com/office/drawing/2014/main" id="{00000000-0008-0000-0000-000005000000}"/>
            </a:ext>
          </a:extLst>
        </xdr:cNvPr>
        <xdr:cNvSpPr/>
      </xdr:nvSpPr>
      <xdr:spPr>
        <a:xfrm>
          <a:off x="1544909" y="1165458"/>
          <a:ext cx="1211919" cy="6543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050" b="1"/>
            <a:t>INPUT DESAIN PEMBELAJARAN</a:t>
          </a:r>
        </a:p>
      </xdr:txBody>
    </xdr:sp>
    <xdr:clientData/>
  </xdr:twoCellAnchor>
  <xdr:twoCellAnchor>
    <xdr:from>
      <xdr:col>3</xdr:col>
      <xdr:colOff>919044</xdr:colOff>
      <xdr:row>3</xdr:row>
      <xdr:rowOff>129169</xdr:rowOff>
    </xdr:from>
    <xdr:to>
      <xdr:col>4</xdr:col>
      <xdr:colOff>418169</xdr:colOff>
      <xdr:row>4</xdr:row>
      <xdr:rowOff>98193</xdr:rowOff>
    </xdr:to>
    <xdr:sp macro="" textlink="">
      <xdr:nvSpPr>
        <xdr:cNvPr id="6" name="Persegi Panjang: Sudut Lengkung 5">
          <a:hlinkClick xmlns:r="http://schemas.openxmlformats.org/officeDocument/2006/relationships" r:id="rId3"/>
          <a:extLst>
            <a:ext uri="{FF2B5EF4-FFF2-40B4-BE49-F238E27FC236}">
              <a16:creationId xmlns:a16="http://schemas.microsoft.com/office/drawing/2014/main" id="{00000000-0008-0000-0000-000006000000}"/>
            </a:ext>
          </a:extLst>
        </xdr:cNvPr>
        <xdr:cNvSpPr/>
      </xdr:nvSpPr>
      <xdr:spPr>
        <a:xfrm>
          <a:off x="2905355" y="1162980"/>
          <a:ext cx="1799064" cy="6543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b="1"/>
            <a:t>INPUT LANGKAH-LANGKAH PEMBELAJARAN</a:t>
          </a:r>
        </a:p>
      </xdr:txBody>
    </xdr:sp>
    <xdr:clientData/>
  </xdr:twoCellAnchor>
  <xdr:twoCellAnchor>
    <xdr:from>
      <xdr:col>4</xdr:col>
      <xdr:colOff>571962</xdr:colOff>
      <xdr:row>3</xdr:row>
      <xdr:rowOff>134437</xdr:rowOff>
    </xdr:from>
    <xdr:to>
      <xdr:col>6</xdr:col>
      <xdr:colOff>638873</xdr:colOff>
      <xdr:row>4</xdr:row>
      <xdr:rowOff>103461</xdr:rowOff>
    </xdr:to>
    <xdr:sp macro="" textlink="">
      <xdr:nvSpPr>
        <xdr:cNvPr id="8" name="Persegi Panjang: Sudut Lengkung 7">
          <a:hlinkClick xmlns:r="http://schemas.openxmlformats.org/officeDocument/2006/relationships" r:id="rId4"/>
          <a:extLst>
            <a:ext uri="{FF2B5EF4-FFF2-40B4-BE49-F238E27FC236}">
              <a16:creationId xmlns:a16="http://schemas.microsoft.com/office/drawing/2014/main" id="{00000000-0008-0000-0000-000008000000}"/>
            </a:ext>
          </a:extLst>
        </xdr:cNvPr>
        <xdr:cNvSpPr/>
      </xdr:nvSpPr>
      <xdr:spPr>
        <a:xfrm>
          <a:off x="4858212" y="1168248"/>
          <a:ext cx="1600204" cy="6543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200" b="1"/>
            <a:t>KEGIATAN</a:t>
          </a:r>
          <a:r>
            <a:rPr lang="en-ID" sz="1200" b="1" baseline="0"/>
            <a:t> ASESMEN</a:t>
          </a:r>
          <a:endParaRPr lang="en-ID" sz="1200" b="1"/>
        </a:p>
      </xdr:txBody>
    </xdr:sp>
    <xdr:clientData/>
  </xdr:twoCellAnchor>
  <xdr:twoCellAnchor>
    <xdr:from>
      <xdr:col>0</xdr:col>
      <xdr:colOff>241453</xdr:colOff>
      <xdr:row>3</xdr:row>
      <xdr:rowOff>121425</xdr:rowOff>
    </xdr:from>
    <xdr:to>
      <xdr:col>0</xdr:col>
      <xdr:colOff>1418527</xdr:colOff>
      <xdr:row>4</xdr:row>
      <xdr:rowOff>90449</xdr:rowOff>
    </xdr:to>
    <xdr:sp macro="" textlink="">
      <xdr:nvSpPr>
        <xdr:cNvPr id="9" name="Persegi Panjang: Sudut Lengkung 8">
          <a:hlinkClick xmlns:r="http://schemas.openxmlformats.org/officeDocument/2006/relationships" r:id="rId5"/>
          <a:extLst>
            <a:ext uri="{FF2B5EF4-FFF2-40B4-BE49-F238E27FC236}">
              <a16:creationId xmlns:a16="http://schemas.microsoft.com/office/drawing/2014/main" id="{00000000-0008-0000-0000-000009000000}"/>
            </a:ext>
          </a:extLst>
        </xdr:cNvPr>
        <xdr:cNvSpPr/>
      </xdr:nvSpPr>
      <xdr:spPr>
        <a:xfrm>
          <a:off x="241453" y="1155236"/>
          <a:ext cx="1177074" cy="6543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200" b="1"/>
            <a:t>Cover Modul/RPP</a:t>
          </a:r>
        </a:p>
      </xdr:txBody>
    </xdr:sp>
    <xdr:clientData/>
  </xdr:twoCellAnchor>
  <xdr:twoCellAnchor>
    <xdr:from>
      <xdr:col>6</xdr:col>
      <xdr:colOff>789878</xdr:colOff>
      <xdr:row>3</xdr:row>
      <xdr:rowOff>124215</xdr:rowOff>
    </xdr:from>
    <xdr:to>
      <xdr:col>7</xdr:col>
      <xdr:colOff>216829</xdr:colOff>
      <xdr:row>4</xdr:row>
      <xdr:rowOff>93239</xdr:rowOff>
    </xdr:to>
    <xdr:sp macro="" textlink="">
      <xdr:nvSpPr>
        <xdr:cNvPr id="10" name="Persegi Panjang: Sudut Lengkung 9">
          <a:hlinkClick xmlns:r="http://schemas.openxmlformats.org/officeDocument/2006/relationships" r:id="rId6"/>
          <a:extLst>
            <a:ext uri="{FF2B5EF4-FFF2-40B4-BE49-F238E27FC236}">
              <a16:creationId xmlns:a16="http://schemas.microsoft.com/office/drawing/2014/main" id="{00000000-0008-0000-0000-00000A000000}"/>
            </a:ext>
          </a:extLst>
        </xdr:cNvPr>
        <xdr:cNvSpPr/>
      </xdr:nvSpPr>
      <xdr:spPr>
        <a:xfrm>
          <a:off x="6609421" y="1158026"/>
          <a:ext cx="1018323" cy="65435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200" b="1"/>
            <a:t>Cetak</a:t>
          </a:r>
          <a:r>
            <a:rPr lang="en-ID" sz="1200" b="1" baseline="0"/>
            <a:t> RPP</a:t>
          </a:r>
          <a:endParaRPr lang="en-ID" sz="1200" b="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6701</xdr:colOff>
      <xdr:row>12</xdr:row>
      <xdr:rowOff>22678</xdr:rowOff>
    </xdr:from>
    <xdr:to>
      <xdr:col>7</xdr:col>
      <xdr:colOff>113391</xdr:colOff>
      <xdr:row>25</xdr:row>
      <xdr:rowOff>171448</xdr:rowOff>
    </xdr:to>
    <xdr:pic>
      <xdr:nvPicPr>
        <xdr:cNvPr id="3" name="Gambar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43665" y="3469821"/>
          <a:ext cx="2555976" cy="25073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151946</xdr:colOff>
      <xdr:row>2</xdr:row>
      <xdr:rowOff>168577</xdr:rowOff>
    </xdr:from>
    <xdr:to>
      <xdr:col>11</xdr:col>
      <xdr:colOff>560916</xdr:colOff>
      <xdr:row>8</xdr:row>
      <xdr:rowOff>143335</xdr:rowOff>
    </xdr:to>
    <xdr:pic>
      <xdr:nvPicPr>
        <xdr:cNvPr id="2" name="Picture 1" descr="HUBUNGI KAMI">
          <a:hlinkClick xmlns:r="http://schemas.openxmlformats.org/officeDocument/2006/relationships" r:id="rId2"/>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290279" y="528410"/>
          <a:ext cx="1022804" cy="10542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133350</xdr:colOff>
      <xdr:row>0</xdr:row>
      <xdr:rowOff>95250</xdr:rowOff>
    </xdr:from>
    <xdr:to>
      <xdr:col>3</xdr:col>
      <xdr:colOff>676413</xdr:colOff>
      <xdr:row>0</xdr:row>
      <xdr:rowOff>542925</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0000000-0008-0000-0200-000002000000}"/>
            </a:ext>
          </a:extLst>
        </xdr:cNvPr>
        <xdr:cNvSpPr/>
      </xdr:nvSpPr>
      <xdr:spPr>
        <a:xfrm>
          <a:off x="133350" y="95250"/>
          <a:ext cx="2572302" cy="44767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US" sz="2000" b="1"/>
            <a:t>MENU</a:t>
          </a:r>
          <a:r>
            <a:rPr lang="en-US" sz="2000" b="1" baseline="0"/>
            <a:t> UTAMA</a:t>
          </a:r>
          <a:endParaRPr lang="en-US" sz="20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133351</xdr:colOff>
      <xdr:row>0</xdr:row>
      <xdr:rowOff>95250</xdr:rowOff>
    </xdr:from>
    <xdr:to>
      <xdr:col>2</xdr:col>
      <xdr:colOff>147675</xdr:colOff>
      <xdr:row>0</xdr:row>
      <xdr:rowOff>542925</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0000000-0008-0000-0300-000002000000}"/>
            </a:ext>
          </a:extLst>
        </xdr:cNvPr>
        <xdr:cNvSpPr/>
      </xdr:nvSpPr>
      <xdr:spPr>
        <a:xfrm>
          <a:off x="133351" y="95250"/>
          <a:ext cx="4134440" cy="44767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US" sz="2000" b="1"/>
            <a:t>MENU</a:t>
          </a:r>
          <a:r>
            <a:rPr lang="en-US" sz="2000" b="1" baseline="0"/>
            <a:t> UTAMA</a:t>
          </a:r>
          <a:endParaRPr lang="en-US" sz="20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133350</xdr:colOff>
      <xdr:row>0</xdr:row>
      <xdr:rowOff>95250</xdr:rowOff>
    </xdr:from>
    <xdr:to>
      <xdr:col>1</xdr:col>
      <xdr:colOff>1439826</xdr:colOff>
      <xdr:row>0</xdr:row>
      <xdr:rowOff>542925</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0000000-0008-0000-0400-000002000000}"/>
            </a:ext>
          </a:extLst>
        </xdr:cNvPr>
        <xdr:cNvSpPr/>
      </xdr:nvSpPr>
      <xdr:spPr>
        <a:xfrm>
          <a:off x="133350" y="95250"/>
          <a:ext cx="1904557" cy="44767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US" sz="2000" b="1"/>
            <a:t>MENU</a:t>
          </a:r>
          <a:r>
            <a:rPr lang="en-US" sz="2000" b="1" baseline="0"/>
            <a:t> UTAMA</a:t>
          </a:r>
          <a:endParaRPr lang="en-US" sz="2000" b="1"/>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59578</xdr:colOff>
      <xdr:row>4</xdr:row>
      <xdr:rowOff>569</xdr:rowOff>
    </xdr:from>
    <xdr:to>
      <xdr:col>12</xdr:col>
      <xdr:colOff>785763</xdr:colOff>
      <xdr:row>8</xdr:row>
      <xdr:rowOff>141537</xdr:rowOff>
    </xdr:to>
    <xdr:pic>
      <xdr:nvPicPr>
        <xdr:cNvPr id="2" name="Picture 1" descr="HUBUNGI KAMI">
          <a:hlinkClick xmlns:r="http://schemas.openxmlformats.org/officeDocument/2006/relationships" r:id="rId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217289" y="1489689"/>
          <a:ext cx="726185" cy="758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xdr:from>
          <xdr:col>12</xdr:col>
          <xdr:colOff>66675</xdr:colOff>
          <xdr:row>1</xdr:row>
          <xdr:rowOff>19050</xdr:rowOff>
        </xdr:from>
        <xdr:to>
          <xdr:col>12</xdr:col>
          <xdr:colOff>790575</xdr:colOff>
          <xdr:row>2</xdr:row>
          <xdr:rowOff>695325</xdr:rowOff>
        </xdr:to>
        <xdr:sp macro="" textlink="">
          <xdr:nvSpPr>
            <xdr:cNvPr id="3073" name="Spinner 1" hidden="1">
              <a:extLst>
                <a:ext uri="{63B3BB69-23CF-44E3-9099-C40C66FF867C}">
                  <a14:compatExt spid="_x0000_s3073"/>
                </a:ext>
                <a:ext uri="{FF2B5EF4-FFF2-40B4-BE49-F238E27FC236}">
                  <a16:creationId xmlns:a16="http://schemas.microsoft.com/office/drawing/2014/main" id="{00000000-0008-0000-0500-0000010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7"/>
  <sheetViews>
    <sheetView topLeftCell="A4" zoomScale="82" workbookViewId="0">
      <selection activeCell="D14" sqref="D14"/>
    </sheetView>
  </sheetViews>
  <sheetFormatPr defaultRowHeight="15" x14ac:dyDescent="0.25"/>
  <cols>
    <col min="1" max="1" width="26" customWidth="1"/>
    <col min="2" max="3" width="1.85546875" customWidth="1"/>
    <col min="4" max="4" width="34.42578125" customWidth="1"/>
    <col min="6" max="6" width="13.85546875" customWidth="1"/>
    <col min="7" max="7" width="23.85546875" customWidth="1"/>
    <col min="8" max="8" width="10.140625" customWidth="1"/>
  </cols>
  <sheetData>
    <row r="1" spans="1:8" ht="14.45" customHeight="1" x14ac:dyDescent="0.25">
      <c r="A1" s="18"/>
      <c r="B1" s="19"/>
      <c r="C1" s="19"/>
      <c r="D1" s="81" t="s">
        <v>25</v>
      </c>
      <c r="E1" s="81"/>
      <c r="F1" s="81"/>
      <c r="G1" s="81"/>
      <c r="H1" s="81"/>
    </row>
    <row r="2" spans="1:8" ht="51.75" customHeight="1" thickBot="1" x14ac:dyDescent="0.3">
      <c r="A2" s="20"/>
      <c r="B2" s="21"/>
      <c r="C2" s="21"/>
      <c r="D2" s="82"/>
      <c r="E2" s="82"/>
      <c r="F2" s="82"/>
      <c r="G2" s="82"/>
      <c r="H2" s="82"/>
    </row>
    <row r="3" spans="1:8" ht="15.6" customHeight="1" x14ac:dyDescent="0.25">
      <c r="A3" s="70"/>
      <c r="B3" s="71"/>
      <c r="C3" s="71"/>
      <c r="D3" s="71"/>
      <c r="E3" s="71"/>
      <c r="F3" s="71"/>
      <c r="G3" s="71"/>
      <c r="H3" s="71"/>
    </row>
    <row r="4" spans="1:8" ht="54" customHeight="1" x14ac:dyDescent="0.25">
      <c r="A4" s="72"/>
      <c r="B4" s="73"/>
      <c r="C4" s="73"/>
      <c r="D4" s="73"/>
      <c r="E4" s="73"/>
      <c r="F4" s="73"/>
      <c r="G4" s="73"/>
      <c r="H4" s="73"/>
    </row>
    <row r="5" spans="1:8" ht="41.25" customHeight="1" thickBot="1" x14ac:dyDescent="0.3">
      <c r="A5" s="72"/>
      <c r="B5" s="73"/>
      <c r="C5" s="73"/>
      <c r="D5" s="73"/>
      <c r="E5" s="73"/>
      <c r="F5" s="73"/>
      <c r="G5" s="73"/>
      <c r="H5" s="73"/>
    </row>
    <row r="6" spans="1:8" ht="15.75" thickBot="1" x14ac:dyDescent="0.3">
      <c r="A6" s="83" t="s">
        <v>121</v>
      </c>
      <c r="B6" s="84"/>
      <c r="C6" s="84"/>
      <c r="D6" s="84"/>
      <c r="E6" s="84"/>
      <c r="F6" s="84"/>
      <c r="G6" s="85"/>
      <c r="H6" s="85"/>
    </row>
    <row r="7" spans="1:8" ht="15.75" thickBot="1" x14ac:dyDescent="0.3">
      <c r="A7" s="88" t="s">
        <v>42</v>
      </c>
      <c r="B7" s="89"/>
      <c r="C7" s="89"/>
      <c r="D7" s="90"/>
      <c r="E7" s="86" t="s">
        <v>13</v>
      </c>
      <c r="F7" s="87"/>
      <c r="G7" s="87"/>
      <c r="H7" s="87"/>
    </row>
    <row r="8" spans="1:8" ht="15.95" customHeight="1" x14ac:dyDescent="0.25">
      <c r="A8" s="74" t="s">
        <v>0</v>
      </c>
      <c r="B8" s="74"/>
      <c r="C8" s="5" t="s">
        <v>1</v>
      </c>
      <c r="D8" s="39" t="s">
        <v>124</v>
      </c>
      <c r="E8" s="42" t="s">
        <v>14</v>
      </c>
      <c r="F8" s="77" t="s">
        <v>24</v>
      </c>
      <c r="G8" s="77"/>
      <c r="H8" s="78"/>
    </row>
    <row r="9" spans="1:8" ht="15.95" customHeight="1" x14ac:dyDescent="0.25">
      <c r="A9" s="74" t="s">
        <v>2</v>
      </c>
      <c r="B9" s="74"/>
      <c r="C9" s="5" t="s">
        <v>1</v>
      </c>
      <c r="D9" s="39" t="s">
        <v>125</v>
      </c>
      <c r="E9" s="43"/>
      <c r="F9" s="79"/>
      <c r="G9" s="79"/>
      <c r="H9" s="80"/>
    </row>
    <row r="10" spans="1:8" ht="15.95" customHeight="1" x14ac:dyDescent="0.25">
      <c r="A10" s="74" t="s">
        <v>3</v>
      </c>
      <c r="B10" s="74"/>
      <c r="C10" s="5" t="s">
        <v>1</v>
      </c>
      <c r="D10" s="40" t="s">
        <v>23</v>
      </c>
      <c r="E10" s="44">
        <v>2</v>
      </c>
      <c r="F10" s="79" t="s">
        <v>15</v>
      </c>
      <c r="G10" s="79"/>
      <c r="H10" s="79"/>
    </row>
    <row r="11" spans="1:8" ht="15.95" customHeight="1" x14ac:dyDescent="0.25">
      <c r="A11" s="74" t="s">
        <v>4</v>
      </c>
      <c r="B11" s="74"/>
      <c r="C11" s="5" t="s">
        <v>1</v>
      </c>
      <c r="D11" s="39" t="s">
        <v>126</v>
      </c>
      <c r="E11" s="69"/>
      <c r="F11" s="79"/>
      <c r="G11" s="79"/>
      <c r="H11" s="79"/>
    </row>
    <row r="12" spans="1:8" ht="15.95" customHeight="1" x14ac:dyDescent="0.25">
      <c r="A12" s="74" t="s">
        <v>5</v>
      </c>
      <c r="B12" s="74"/>
      <c r="C12" s="5" t="s">
        <v>1</v>
      </c>
      <c r="D12" s="40" t="s">
        <v>23</v>
      </c>
      <c r="E12" s="69"/>
      <c r="F12" s="79"/>
      <c r="G12" s="79"/>
      <c r="H12" s="79"/>
    </row>
    <row r="13" spans="1:8" ht="15.95" customHeight="1" x14ac:dyDescent="0.25">
      <c r="A13" s="74" t="s">
        <v>6</v>
      </c>
      <c r="B13" s="74"/>
      <c r="C13" s="5" t="s">
        <v>1</v>
      </c>
      <c r="D13" s="39" t="s">
        <v>51</v>
      </c>
      <c r="E13" s="45"/>
      <c r="F13" s="79"/>
      <c r="G13" s="79"/>
      <c r="H13" s="79"/>
    </row>
    <row r="14" spans="1:8" ht="15.95" customHeight="1" x14ac:dyDescent="0.25">
      <c r="A14" s="74" t="s">
        <v>32</v>
      </c>
      <c r="B14" s="74"/>
      <c r="C14" s="5" t="s">
        <v>1</v>
      </c>
      <c r="D14" s="39" t="s">
        <v>127</v>
      </c>
      <c r="E14" s="69">
        <v>3</v>
      </c>
      <c r="F14" s="68" t="s">
        <v>16</v>
      </c>
      <c r="G14" s="68"/>
      <c r="H14" s="68"/>
    </row>
    <row r="15" spans="1:8" ht="15.95" customHeight="1" x14ac:dyDescent="0.25">
      <c r="A15" s="74" t="s">
        <v>8</v>
      </c>
      <c r="B15" s="74"/>
      <c r="C15" s="5" t="s">
        <v>1</v>
      </c>
      <c r="D15" s="39" t="s">
        <v>21</v>
      </c>
      <c r="E15" s="69"/>
      <c r="F15" s="68"/>
      <c r="G15" s="68"/>
      <c r="H15" s="68"/>
    </row>
    <row r="16" spans="1:8" ht="15.95" customHeight="1" x14ac:dyDescent="0.25">
      <c r="A16" s="74" t="s">
        <v>9</v>
      </c>
      <c r="B16" s="74"/>
      <c r="C16" s="5" t="s">
        <v>1</v>
      </c>
      <c r="D16" s="39" t="s">
        <v>22</v>
      </c>
      <c r="E16" s="69"/>
      <c r="F16" s="68"/>
      <c r="G16" s="68"/>
      <c r="H16" s="68"/>
    </row>
    <row r="17" spans="1:8" ht="15.95" customHeight="1" x14ac:dyDescent="0.25">
      <c r="A17" s="75" t="s">
        <v>11</v>
      </c>
      <c r="B17" s="76"/>
      <c r="C17" s="5" t="s">
        <v>1</v>
      </c>
      <c r="D17" s="41" t="s">
        <v>33</v>
      </c>
      <c r="E17" s="69"/>
      <c r="F17" s="68"/>
      <c r="G17" s="68"/>
      <c r="H17" s="68"/>
    </row>
  </sheetData>
  <sheetProtection formatCells="0" formatColumns="0" formatRows="0" insertColumns="0" insertRows="0" insertHyperlinks="0" deleteColumns="0" deleteRows="0"/>
  <mergeCells count="21">
    <mergeCell ref="A12:B12"/>
    <mergeCell ref="D1:H2"/>
    <mergeCell ref="A6:H6"/>
    <mergeCell ref="E7:H7"/>
    <mergeCell ref="A7:D7"/>
    <mergeCell ref="F14:H17"/>
    <mergeCell ref="E14:E15"/>
    <mergeCell ref="E16:E17"/>
    <mergeCell ref="A3:H5"/>
    <mergeCell ref="A16:B16"/>
    <mergeCell ref="A17:B17"/>
    <mergeCell ref="E11:E12"/>
    <mergeCell ref="F8:H9"/>
    <mergeCell ref="F10:H13"/>
    <mergeCell ref="A13:B13"/>
    <mergeCell ref="A14:B14"/>
    <mergeCell ref="A15:B15"/>
    <mergeCell ref="A8:B8"/>
    <mergeCell ref="A9:B9"/>
    <mergeCell ref="A10:B10"/>
    <mergeCell ref="A11:B1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C69D8-A4A9-479E-96AC-0978E11F4BC6}">
  <dimension ref="A1:K45"/>
  <sheetViews>
    <sheetView view="pageBreakPreview" zoomScale="60" zoomScaleNormal="56" workbookViewId="0">
      <selection sqref="A1:J3"/>
    </sheetView>
  </sheetViews>
  <sheetFormatPr defaultRowHeight="15" x14ac:dyDescent="0.25"/>
  <sheetData>
    <row r="1" spans="1:11" x14ac:dyDescent="0.25">
      <c r="A1" s="91"/>
      <c r="B1" s="91"/>
      <c r="C1" s="91"/>
      <c r="D1" s="91"/>
      <c r="E1" s="91"/>
      <c r="F1" s="91"/>
      <c r="G1" s="91"/>
      <c r="H1" s="91"/>
      <c r="I1" s="91"/>
      <c r="J1" s="91"/>
    </row>
    <row r="2" spans="1:11" x14ac:dyDescent="0.25">
      <c r="A2" s="91"/>
      <c r="B2" s="91"/>
      <c r="C2" s="91"/>
      <c r="D2" s="91"/>
      <c r="E2" s="91"/>
      <c r="F2" s="91"/>
      <c r="G2" s="91"/>
      <c r="H2" s="91"/>
      <c r="I2" s="91"/>
      <c r="J2" s="91"/>
    </row>
    <row r="3" spans="1:11" x14ac:dyDescent="0.25">
      <c r="A3" s="91"/>
      <c r="B3" s="91"/>
      <c r="C3" s="91"/>
      <c r="D3" s="91"/>
      <c r="E3" s="91"/>
      <c r="F3" s="91"/>
      <c r="G3" s="91"/>
      <c r="H3" s="91"/>
      <c r="I3" s="91"/>
      <c r="J3" s="91"/>
    </row>
    <row r="4" spans="1:11" x14ac:dyDescent="0.25">
      <c r="A4" s="93" t="s">
        <v>48</v>
      </c>
      <c r="B4" s="93"/>
      <c r="C4" s="93"/>
      <c r="D4" s="93"/>
      <c r="E4" s="93"/>
      <c r="F4" s="93"/>
      <c r="G4" s="93"/>
      <c r="H4" s="93"/>
      <c r="I4" s="93"/>
      <c r="J4" s="93"/>
    </row>
    <row r="5" spans="1:11" x14ac:dyDescent="0.25">
      <c r="A5" s="93"/>
      <c r="B5" s="93"/>
      <c r="C5" s="93"/>
      <c r="D5" s="93"/>
      <c r="E5" s="93"/>
      <c r="F5" s="93"/>
      <c r="G5" s="93"/>
      <c r="H5" s="93"/>
      <c r="I5" s="93"/>
      <c r="J5" s="93"/>
    </row>
    <row r="6" spans="1:11" x14ac:dyDescent="0.25">
      <c r="A6" s="92" t="s">
        <v>49</v>
      </c>
      <c r="B6" s="92"/>
      <c r="C6" s="92"/>
      <c r="D6" s="92"/>
      <c r="E6" s="92"/>
      <c r="F6" s="92"/>
      <c r="G6" s="92"/>
      <c r="H6" s="92"/>
      <c r="I6" s="92"/>
      <c r="J6" s="92"/>
    </row>
    <row r="7" spans="1:11" x14ac:dyDescent="0.25">
      <c r="A7" s="92"/>
      <c r="B7" s="92"/>
      <c r="C7" s="92"/>
      <c r="D7" s="92"/>
      <c r="E7" s="92"/>
      <c r="F7" s="92"/>
      <c r="G7" s="92"/>
      <c r="H7" s="92"/>
      <c r="I7" s="92"/>
      <c r="J7" s="92"/>
    </row>
    <row r="8" spans="1:11" x14ac:dyDescent="0.25">
      <c r="A8" s="92" t="str">
        <f>'HALAMAN AWAL'!$D$13</f>
        <v>ILMU PENGETAHUAN ALAM</v>
      </c>
      <c r="B8" s="92"/>
      <c r="C8" s="92"/>
      <c r="D8" s="92"/>
      <c r="E8" s="92"/>
      <c r="F8" s="92"/>
      <c r="G8" s="92"/>
      <c r="H8" s="92"/>
      <c r="I8" s="92"/>
      <c r="J8" s="92"/>
    </row>
    <row r="9" spans="1:11" x14ac:dyDescent="0.25">
      <c r="A9" s="92"/>
      <c r="B9" s="92"/>
      <c r="C9" s="92"/>
      <c r="D9" s="92"/>
      <c r="E9" s="92"/>
      <c r="F9" s="92"/>
      <c r="G9" s="92"/>
      <c r="H9" s="92"/>
      <c r="I9" s="92"/>
      <c r="J9" s="92"/>
    </row>
    <row r="10" spans="1:11" x14ac:dyDescent="0.25">
      <c r="A10" s="91"/>
      <c r="B10" s="91"/>
      <c r="C10" s="91"/>
      <c r="D10" s="91"/>
      <c r="E10" s="91"/>
      <c r="F10" s="91"/>
      <c r="G10" s="91"/>
      <c r="H10" s="91"/>
      <c r="I10" s="91"/>
      <c r="J10" s="91"/>
      <c r="K10" t="s">
        <v>59</v>
      </c>
    </row>
    <row r="11" spans="1:11" x14ac:dyDescent="0.25">
      <c r="A11" s="91"/>
      <c r="B11" s="91"/>
      <c r="C11" s="91"/>
      <c r="D11" s="91"/>
      <c r="E11" s="91"/>
      <c r="F11" s="91"/>
      <c r="G11" s="91"/>
      <c r="H11" s="91"/>
      <c r="I11" s="91"/>
      <c r="J11" s="91"/>
    </row>
    <row r="12" spans="1:11" x14ac:dyDescent="0.25">
      <c r="A12" s="91"/>
      <c r="B12" s="91"/>
      <c r="C12" s="91"/>
      <c r="D12" s="91"/>
      <c r="E12" s="91"/>
      <c r="F12" s="91"/>
      <c r="G12" s="91"/>
      <c r="H12" s="91"/>
      <c r="I12" s="91"/>
      <c r="J12" s="91"/>
    </row>
    <row r="13" spans="1:11" x14ac:dyDescent="0.25">
      <c r="A13" s="91"/>
      <c r="B13" s="91"/>
      <c r="C13" s="91"/>
      <c r="D13" s="91"/>
      <c r="E13" s="91"/>
      <c r="F13" s="91"/>
      <c r="G13" s="91"/>
      <c r="H13" s="91"/>
      <c r="I13" s="91"/>
      <c r="J13" s="91"/>
    </row>
    <row r="14" spans="1:11" x14ac:dyDescent="0.25">
      <c r="A14" s="91"/>
      <c r="B14" s="91"/>
      <c r="C14" s="91"/>
      <c r="D14" s="91"/>
      <c r="E14" s="91"/>
      <c r="F14" s="91"/>
      <c r="G14" s="91"/>
      <c r="H14" s="91"/>
      <c r="I14" s="91"/>
      <c r="J14" s="91"/>
    </row>
    <row r="15" spans="1:11" x14ac:dyDescent="0.25">
      <c r="A15" s="91"/>
      <c r="B15" s="91"/>
      <c r="C15" s="91"/>
      <c r="D15" s="91"/>
      <c r="E15" s="91"/>
      <c r="F15" s="91"/>
      <c r="G15" s="91"/>
      <c r="H15" s="91"/>
      <c r="I15" s="91"/>
      <c r="J15" s="91"/>
    </row>
    <row r="16" spans="1:11" x14ac:dyDescent="0.25">
      <c r="A16" s="91"/>
      <c r="B16" s="91"/>
      <c r="C16" s="91"/>
      <c r="D16" s="91"/>
      <c r="E16" s="91"/>
      <c r="F16" s="91"/>
      <c r="G16" s="91"/>
      <c r="H16" s="91"/>
      <c r="I16" s="91"/>
      <c r="J16" s="91"/>
    </row>
    <row r="17" spans="1:10" x14ac:dyDescent="0.25">
      <c r="A17" s="91"/>
      <c r="B17" s="91"/>
      <c r="C17" s="91"/>
      <c r="D17" s="91"/>
      <c r="E17" s="91"/>
      <c r="F17" s="91"/>
      <c r="G17" s="91"/>
      <c r="H17" s="91"/>
      <c r="I17" s="91"/>
      <c r="J17" s="91"/>
    </row>
    <row r="18" spans="1:10" x14ac:dyDescent="0.25">
      <c r="A18" s="91"/>
      <c r="B18" s="91"/>
      <c r="C18" s="91"/>
      <c r="D18" s="91"/>
      <c r="E18" s="91"/>
      <c r="F18" s="91"/>
      <c r="G18" s="91"/>
      <c r="H18" s="91"/>
      <c r="I18" s="91"/>
      <c r="J18" s="91"/>
    </row>
    <row r="19" spans="1:10" x14ac:dyDescent="0.25">
      <c r="A19" s="91"/>
      <c r="B19" s="91"/>
      <c r="C19" s="91"/>
      <c r="D19" s="91"/>
      <c r="E19" s="91"/>
      <c r="F19" s="91"/>
      <c r="G19" s="91"/>
      <c r="H19" s="91"/>
      <c r="I19" s="91"/>
      <c r="J19" s="91"/>
    </row>
    <row r="20" spans="1:10" x14ac:dyDescent="0.25">
      <c r="A20" s="91"/>
      <c r="B20" s="91"/>
      <c r="C20" s="91"/>
      <c r="D20" s="91"/>
      <c r="E20" s="91"/>
      <c r="F20" s="91"/>
      <c r="G20" s="91"/>
      <c r="H20" s="91"/>
      <c r="I20" s="91"/>
      <c r="J20" s="91"/>
    </row>
    <row r="21" spans="1:10" x14ac:dyDescent="0.25">
      <c r="A21" s="91"/>
      <c r="B21" s="91"/>
      <c r="C21" s="91"/>
      <c r="D21" s="91"/>
      <c r="E21" s="91"/>
      <c r="F21" s="91"/>
      <c r="G21" s="91"/>
      <c r="H21" s="91"/>
      <c r="I21" s="91"/>
      <c r="J21" s="91"/>
    </row>
    <row r="22" spans="1:10" x14ac:dyDescent="0.25">
      <c r="A22" s="91"/>
      <c r="B22" s="91"/>
      <c r="C22" s="91"/>
      <c r="D22" s="91"/>
      <c r="E22" s="91"/>
      <c r="F22" s="91"/>
      <c r="G22" s="91"/>
      <c r="H22" s="91"/>
      <c r="I22" s="91"/>
      <c r="J22" s="91"/>
    </row>
    <row r="23" spans="1:10" x14ac:dyDescent="0.25">
      <c r="A23" s="91"/>
      <c r="B23" s="91"/>
      <c r="C23" s="91"/>
      <c r="D23" s="91"/>
      <c r="E23" s="91"/>
      <c r="F23" s="91"/>
      <c r="G23" s="91"/>
      <c r="H23" s="91"/>
      <c r="I23" s="91"/>
      <c r="J23" s="91"/>
    </row>
    <row r="24" spans="1:10" x14ac:dyDescent="0.25">
      <c r="A24" s="91"/>
      <c r="B24" s="91"/>
      <c r="C24" s="91"/>
      <c r="D24" s="91"/>
      <c r="E24" s="91"/>
      <c r="F24" s="91"/>
      <c r="G24" s="91"/>
      <c r="H24" s="91"/>
      <c r="I24" s="91"/>
      <c r="J24" s="91"/>
    </row>
    <row r="25" spans="1:10" x14ac:dyDescent="0.25">
      <c r="A25" s="91"/>
      <c r="B25" s="91"/>
      <c r="C25" s="91"/>
      <c r="D25" s="91"/>
      <c r="E25" s="91"/>
      <c r="F25" s="91"/>
      <c r="G25" s="91"/>
      <c r="H25" s="91"/>
      <c r="I25" s="91"/>
      <c r="J25" s="91"/>
    </row>
    <row r="26" spans="1:10" x14ac:dyDescent="0.25">
      <c r="A26" s="91"/>
      <c r="B26" s="91"/>
      <c r="C26" s="91"/>
      <c r="D26" s="91"/>
      <c r="E26" s="91"/>
      <c r="F26" s="91"/>
      <c r="G26" s="91"/>
      <c r="H26" s="91"/>
      <c r="I26" s="91"/>
      <c r="J26" s="91"/>
    </row>
    <row r="27" spans="1:10" x14ac:dyDescent="0.25">
      <c r="A27" s="91"/>
      <c r="B27" s="91"/>
      <c r="C27" s="91"/>
      <c r="D27" s="91"/>
      <c r="E27" s="91"/>
      <c r="F27" s="91"/>
      <c r="G27" s="91"/>
      <c r="H27" s="91"/>
      <c r="I27" s="91"/>
      <c r="J27" s="91"/>
    </row>
    <row r="28" spans="1:10" x14ac:dyDescent="0.25">
      <c r="A28" s="91"/>
      <c r="B28" s="91"/>
      <c r="C28" s="91"/>
      <c r="D28" s="91"/>
      <c r="E28" s="91"/>
      <c r="F28" s="91"/>
      <c r="G28" s="91"/>
      <c r="H28" s="91"/>
      <c r="I28" s="91"/>
      <c r="J28" s="91"/>
    </row>
    <row r="29" spans="1:10" ht="20.25" x14ac:dyDescent="0.3">
      <c r="A29" s="94" t="str">
        <f>"KELAS "&amp;'HALAMAN AWAL'!D14</f>
        <v>KELAS II/ Ganjil (Fase E)</v>
      </c>
      <c r="B29" s="94"/>
      <c r="C29" s="94"/>
      <c r="D29" s="94"/>
      <c r="E29" s="94"/>
      <c r="F29" s="94"/>
      <c r="G29" s="94"/>
      <c r="H29" s="94"/>
      <c r="I29" s="94"/>
      <c r="J29" s="94"/>
    </row>
    <row r="30" spans="1:10" ht="20.25" x14ac:dyDescent="0.3">
      <c r="A30" s="94" t="str">
        <f>'HALAMAN AWAL'!D11</f>
        <v>ROHMAT</v>
      </c>
      <c r="B30" s="94"/>
      <c r="C30" s="94"/>
      <c r="D30" s="94"/>
      <c r="E30" s="94"/>
      <c r="F30" s="94"/>
      <c r="G30" s="94"/>
      <c r="H30" s="94"/>
      <c r="I30" s="94"/>
      <c r="J30" s="94"/>
    </row>
    <row r="31" spans="1:10" x14ac:dyDescent="0.25">
      <c r="A31" s="95" t="str">
        <f>"NIP "&amp;'HALAMAN AWAL'!D12</f>
        <v>NIP -</v>
      </c>
      <c r="B31" s="95"/>
      <c r="C31" s="95"/>
      <c r="D31" s="95"/>
      <c r="E31" s="95"/>
      <c r="F31" s="95"/>
      <c r="G31" s="95"/>
      <c r="H31" s="95"/>
      <c r="I31" s="95"/>
      <c r="J31" s="95"/>
    </row>
    <row r="32" spans="1:10" x14ac:dyDescent="0.25">
      <c r="A32" s="91"/>
      <c r="B32" s="91"/>
      <c r="C32" s="91"/>
      <c r="D32" s="91"/>
      <c r="E32" s="91"/>
      <c r="F32" s="91"/>
      <c r="G32" s="91"/>
      <c r="H32" s="91"/>
      <c r="I32" s="91"/>
      <c r="J32" s="91"/>
    </row>
    <row r="33" spans="1:10" x14ac:dyDescent="0.25">
      <c r="A33" s="91"/>
      <c r="B33" s="91"/>
      <c r="C33" s="91"/>
      <c r="D33" s="91"/>
      <c r="E33" s="91"/>
      <c r="F33" s="91"/>
      <c r="G33" s="91"/>
      <c r="H33" s="91"/>
      <c r="I33" s="91"/>
      <c r="J33" s="91"/>
    </row>
    <row r="34" spans="1:10" x14ac:dyDescent="0.25">
      <c r="A34" s="91"/>
      <c r="B34" s="91"/>
      <c r="C34" s="91"/>
      <c r="D34" s="91"/>
      <c r="E34" s="91"/>
      <c r="F34" s="91"/>
      <c r="G34" s="91"/>
      <c r="H34" s="91"/>
      <c r="I34" s="91"/>
      <c r="J34" s="91"/>
    </row>
    <row r="35" spans="1:10" x14ac:dyDescent="0.25">
      <c r="A35" s="91"/>
      <c r="B35" s="91"/>
      <c r="C35" s="91"/>
      <c r="D35" s="91"/>
      <c r="E35" s="91"/>
      <c r="F35" s="91"/>
      <c r="G35" s="91"/>
      <c r="H35" s="91"/>
      <c r="I35" s="91"/>
      <c r="J35" s="91"/>
    </row>
    <row r="36" spans="1:10" ht="23.25" x14ac:dyDescent="0.35">
      <c r="A36" s="92" t="str">
        <f>'HALAMAN AWAL'!D8</f>
        <v>SMA JAYA 1</v>
      </c>
      <c r="B36" s="92"/>
      <c r="C36" s="92"/>
      <c r="D36" s="92"/>
      <c r="E36" s="92"/>
      <c r="F36" s="92"/>
      <c r="G36" s="92"/>
      <c r="H36" s="92"/>
      <c r="I36" s="92"/>
      <c r="J36" s="92"/>
    </row>
    <row r="37" spans="1:10" ht="23.25" x14ac:dyDescent="0.35">
      <c r="A37" s="92" t="str">
        <f>"Tahun Pelajaran "&amp;'HALAMAN AWAL'!D15</f>
        <v>Tahun Pelajaran 2025/2026</v>
      </c>
      <c r="B37" s="92"/>
      <c r="C37" s="92"/>
      <c r="D37" s="92"/>
      <c r="E37" s="92"/>
      <c r="F37" s="92"/>
      <c r="G37" s="92"/>
      <c r="H37" s="92"/>
      <c r="I37" s="92"/>
      <c r="J37" s="92"/>
    </row>
    <row r="38" spans="1:10" x14ac:dyDescent="0.25">
      <c r="A38" s="91"/>
      <c r="B38" s="91"/>
      <c r="C38" s="91"/>
      <c r="D38" s="91"/>
      <c r="E38" s="91"/>
      <c r="F38" s="91"/>
      <c r="G38" s="91"/>
      <c r="H38" s="91"/>
      <c r="I38" s="91"/>
      <c r="J38" s="91"/>
    </row>
    <row r="39" spans="1:10" x14ac:dyDescent="0.25">
      <c r="A39" s="91"/>
      <c r="B39" s="91"/>
      <c r="C39" s="91"/>
      <c r="D39" s="91"/>
      <c r="E39" s="91"/>
      <c r="F39" s="91"/>
      <c r="G39" s="91"/>
      <c r="H39" s="91"/>
      <c r="I39" s="91"/>
      <c r="J39" s="91"/>
    </row>
    <row r="40" spans="1:10" x14ac:dyDescent="0.25">
      <c r="A40" s="91"/>
      <c r="B40" s="91"/>
      <c r="C40" s="91"/>
      <c r="D40" s="91"/>
      <c r="E40" s="91"/>
      <c r="F40" s="91"/>
      <c r="G40" s="91"/>
      <c r="H40" s="91"/>
      <c r="I40" s="91"/>
      <c r="J40" s="91"/>
    </row>
    <row r="41" spans="1:10" x14ac:dyDescent="0.25">
      <c r="A41" s="91"/>
      <c r="B41" s="91"/>
      <c r="C41" s="91"/>
      <c r="D41" s="91"/>
      <c r="E41" s="91"/>
      <c r="F41" s="91"/>
      <c r="G41" s="91"/>
      <c r="H41" s="91"/>
      <c r="I41" s="91"/>
      <c r="J41" s="91"/>
    </row>
    <row r="42" spans="1:10" x14ac:dyDescent="0.25">
      <c r="A42" s="91"/>
      <c r="B42" s="91"/>
      <c r="C42" s="91"/>
      <c r="D42" s="91"/>
      <c r="E42" s="91"/>
      <c r="F42" s="91"/>
      <c r="G42" s="91"/>
      <c r="H42" s="91"/>
      <c r="I42" s="91"/>
      <c r="J42" s="91"/>
    </row>
    <row r="43" spans="1:10" x14ac:dyDescent="0.25">
      <c r="A43" s="91"/>
      <c r="B43" s="91"/>
      <c r="C43" s="91"/>
      <c r="D43" s="91"/>
      <c r="E43" s="91"/>
      <c r="F43" s="91"/>
      <c r="G43" s="91"/>
      <c r="H43" s="91"/>
      <c r="I43" s="91"/>
      <c r="J43" s="91"/>
    </row>
    <row r="44" spans="1:10" x14ac:dyDescent="0.25">
      <c r="A44" s="91"/>
      <c r="B44" s="91"/>
      <c r="C44" s="91"/>
      <c r="D44" s="91"/>
      <c r="E44" s="91"/>
      <c r="F44" s="91"/>
      <c r="G44" s="91"/>
      <c r="H44" s="91"/>
      <c r="I44" s="91"/>
      <c r="J44" s="91"/>
    </row>
    <row r="45" spans="1:10" x14ac:dyDescent="0.25">
      <c r="A45" s="91"/>
      <c r="B45" s="91"/>
      <c r="C45" s="91"/>
      <c r="D45" s="91"/>
      <c r="E45" s="91"/>
      <c r="F45" s="91"/>
      <c r="G45" s="91"/>
      <c r="H45" s="91"/>
      <c r="I45" s="91"/>
      <c r="J45" s="91"/>
    </row>
  </sheetData>
  <mergeCells count="12">
    <mergeCell ref="A1:J3"/>
    <mergeCell ref="A10:J28"/>
    <mergeCell ref="A32:J35"/>
    <mergeCell ref="A38:J45"/>
    <mergeCell ref="A36:J36"/>
    <mergeCell ref="A37:J37"/>
    <mergeCell ref="A4:J5"/>
    <mergeCell ref="A6:J7"/>
    <mergeCell ref="A8:J9"/>
    <mergeCell ref="A29:J29"/>
    <mergeCell ref="A30:J30"/>
    <mergeCell ref="A31:J31"/>
  </mergeCells>
  <pageMargins left="0.7" right="0.7" top="0.75" bottom="0.75" header="0.3" footer="0.3"/>
  <pageSetup scale="98" orientation="portrait" horizontalDpi="360" verticalDpi="36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31"/>
  <sheetViews>
    <sheetView zoomScale="69" workbookViewId="0"/>
  </sheetViews>
  <sheetFormatPr defaultRowHeight="15" x14ac:dyDescent="0.25"/>
  <cols>
    <col min="1" max="1" width="9" customWidth="1"/>
    <col min="2" max="2" width="10.42578125" customWidth="1"/>
    <col min="3" max="3" width="11.140625" customWidth="1"/>
    <col min="4" max="4" width="13.42578125" customWidth="1"/>
    <col min="5" max="6" width="19.85546875" customWidth="1"/>
    <col min="7" max="7" width="16.5703125" customWidth="1"/>
    <col min="8" max="8" width="22.28515625" customWidth="1"/>
    <col min="9" max="9" width="33.85546875" customWidth="1"/>
    <col min="10" max="10" width="36.140625" customWidth="1"/>
    <col min="11" max="11" width="35.140625" customWidth="1"/>
    <col min="12" max="12" width="87.5703125" customWidth="1"/>
  </cols>
  <sheetData>
    <row r="1" spans="1:12" ht="50.25" customHeight="1" x14ac:dyDescent="0.25">
      <c r="A1" s="28"/>
      <c r="B1" s="51"/>
      <c r="C1" s="51"/>
      <c r="D1" s="51"/>
      <c r="E1" s="51"/>
      <c r="F1" s="96" t="s">
        <v>71</v>
      </c>
      <c r="G1" s="96"/>
      <c r="H1" s="96"/>
      <c r="I1" s="96"/>
      <c r="J1" s="96"/>
      <c r="K1" s="96"/>
      <c r="L1" s="51"/>
    </row>
    <row r="2" spans="1:12" hidden="1" x14ac:dyDescent="0.25">
      <c r="A2" s="37"/>
      <c r="B2" s="109"/>
      <c r="C2" s="109"/>
      <c r="D2" s="109"/>
      <c r="E2" s="105"/>
      <c r="F2" s="106"/>
      <c r="G2" s="106"/>
      <c r="H2" s="106"/>
    </row>
    <row r="3" spans="1:12" hidden="1" x14ac:dyDescent="0.25">
      <c r="A3" s="38"/>
      <c r="B3" s="29"/>
      <c r="C3" s="29"/>
      <c r="D3" s="29"/>
      <c r="E3" s="105"/>
      <c r="F3" s="106"/>
      <c r="G3" s="106"/>
      <c r="H3" s="106"/>
    </row>
    <row r="4" spans="1:12" x14ac:dyDescent="0.25">
      <c r="A4" s="103"/>
      <c r="B4" s="104"/>
      <c r="C4" s="104"/>
      <c r="D4" s="104"/>
      <c r="E4" s="104"/>
      <c r="F4" s="104"/>
      <c r="G4" s="104"/>
      <c r="H4" s="104"/>
      <c r="I4" s="104"/>
      <c r="J4" s="104"/>
      <c r="K4" s="104"/>
      <c r="L4" s="104"/>
    </row>
    <row r="5" spans="1:12" x14ac:dyDescent="0.25">
      <c r="A5" s="101" t="s">
        <v>10</v>
      </c>
      <c r="B5" s="97" t="s">
        <v>27</v>
      </c>
      <c r="C5" s="98"/>
      <c r="D5" s="99"/>
      <c r="E5" s="107" t="s">
        <v>26</v>
      </c>
      <c r="F5" s="107"/>
      <c r="G5" s="107"/>
      <c r="H5" s="108" t="s">
        <v>38</v>
      </c>
      <c r="I5" s="110" t="s">
        <v>45</v>
      </c>
      <c r="J5" s="110" t="s">
        <v>43</v>
      </c>
      <c r="K5" s="110" t="s">
        <v>58</v>
      </c>
      <c r="L5" s="100" t="s">
        <v>44</v>
      </c>
    </row>
    <row r="6" spans="1:12" x14ac:dyDescent="0.25">
      <c r="A6" s="102"/>
      <c r="B6" s="30" t="s">
        <v>29</v>
      </c>
      <c r="C6" s="30" t="s">
        <v>30</v>
      </c>
      <c r="D6" s="30" t="s">
        <v>31</v>
      </c>
      <c r="E6" s="31" t="s">
        <v>34</v>
      </c>
      <c r="F6" s="31"/>
      <c r="G6" s="31" t="s">
        <v>35</v>
      </c>
      <c r="H6" s="108"/>
      <c r="I6" s="111"/>
      <c r="J6" s="111"/>
      <c r="K6" s="111"/>
      <c r="L6" s="100"/>
    </row>
    <row r="7" spans="1:12" ht="68.099999999999994" customHeight="1" x14ac:dyDescent="0.25">
      <c r="A7" s="1">
        <v>1</v>
      </c>
      <c r="B7" s="32" t="s">
        <v>28</v>
      </c>
      <c r="C7" s="32" t="s">
        <v>36</v>
      </c>
      <c r="D7" s="32" t="s">
        <v>37</v>
      </c>
      <c r="E7" s="33" t="s">
        <v>52</v>
      </c>
      <c r="F7" s="33" t="s">
        <v>119</v>
      </c>
      <c r="G7" s="33" t="s">
        <v>53</v>
      </c>
      <c r="H7" s="32" t="s">
        <v>39</v>
      </c>
      <c r="I7" s="46" t="s">
        <v>56</v>
      </c>
      <c r="J7" s="46" t="s">
        <v>57</v>
      </c>
      <c r="K7" s="46" t="s">
        <v>120</v>
      </c>
      <c r="L7" s="50" t="s">
        <v>41</v>
      </c>
    </row>
    <row r="8" spans="1:12" ht="68.099999999999994" customHeight="1" x14ac:dyDescent="0.25">
      <c r="A8" s="1">
        <v>2</v>
      </c>
      <c r="B8" s="32" t="s">
        <v>28</v>
      </c>
      <c r="C8" s="32" t="s">
        <v>36</v>
      </c>
      <c r="D8" s="32" t="s">
        <v>37</v>
      </c>
      <c r="E8" s="33" t="s">
        <v>61</v>
      </c>
      <c r="F8" s="33" t="s">
        <v>119</v>
      </c>
      <c r="G8" s="33" t="s">
        <v>62</v>
      </c>
      <c r="H8" s="35" t="s">
        <v>40</v>
      </c>
      <c r="I8" s="46" t="s">
        <v>56</v>
      </c>
      <c r="J8" s="46" t="s">
        <v>57</v>
      </c>
      <c r="K8" s="46" t="s">
        <v>120</v>
      </c>
      <c r="L8" s="50" t="s">
        <v>41</v>
      </c>
    </row>
    <row r="9" spans="1:12" ht="68.099999999999994" customHeight="1" x14ac:dyDescent="0.25">
      <c r="A9" s="1">
        <v>3</v>
      </c>
      <c r="B9" s="32" t="s">
        <v>28</v>
      </c>
      <c r="C9" s="32" t="s">
        <v>36</v>
      </c>
      <c r="D9" s="32" t="s">
        <v>37</v>
      </c>
      <c r="E9" s="33" t="s">
        <v>63</v>
      </c>
      <c r="F9" s="33" t="s">
        <v>119</v>
      </c>
      <c r="G9" s="33" t="s">
        <v>64</v>
      </c>
      <c r="H9" s="35" t="s">
        <v>60</v>
      </c>
      <c r="I9" s="46" t="s">
        <v>56</v>
      </c>
      <c r="J9" s="46" t="s">
        <v>57</v>
      </c>
      <c r="K9" s="46" t="s">
        <v>120</v>
      </c>
      <c r="L9" s="50" t="s">
        <v>41</v>
      </c>
    </row>
    <row r="10" spans="1:12" ht="68.099999999999994" customHeight="1" x14ac:dyDescent="0.25">
      <c r="A10" s="1">
        <v>4</v>
      </c>
      <c r="B10" s="32"/>
      <c r="C10" s="32"/>
      <c r="D10" s="32"/>
      <c r="E10" s="34"/>
      <c r="F10" s="34"/>
      <c r="G10" s="34"/>
      <c r="H10" s="35"/>
      <c r="I10" s="46"/>
      <c r="J10" s="46"/>
      <c r="K10" s="46"/>
      <c r="L10" s="50"/>
    </row>
    <row r="11" spans="1:12" ht="68.099999999999994" customHeight="1" x14ac:dyDescent="0.25">
      <c r="A11" s="1">
        <v>5</v>
      </c>
      <c r="B11" s="32"/>
      <c r="C11" s="32"/>
      <c r="D11" s="32"/>
      <c r="E11" s="34"/>
      <c r="F11" s="34"/>
      <c r="G11" s="34"/>
      <c r="H11" s="35"/>
      <c r="I11" s="46"/>
      <c r="J11" s="46"/>
      <c r="K11" s="46"/>
      <c r="L11" s="50"/>
    </row>
    <row r="12" spans="1:12" ht="68.099999999999994" customHeight="1" x14ac:dyDescent="0.25">
      <c r="A12" s="1">
        <v>6</v>
      </c>
      <c r="B12" s="32"/>
      <c r="C12" s="32"/>
      <c r="D12" s="32"/>
      <c r="E12" s="34"/>
      <c r="F12" s="34"/>
      <c r="G12" s="34"/>
      <c r="H12" s="35"/>
      <c r="I12" s="46"/>
      <c r="J12" s="46"/>
      <c r="K12" s="46"/>
      <c r="L12" s="50"/>
    </row>
    <row r="13" spans="1:12" ht="68.099999999999994" customHeight="1" x14ac:dyDescent="0.25">
      <c r="A13" s="1">
        <v>7</v>
      </c>
      <c r="B13" s="32"/>
      <c r="C13" s="32"/>
      <c r="D13" s="32"/>
      <c r="E13" s="34"/>
      <c r="F13" s="34"/>
      <c r="G13" s="34"/>
      <c r="H13" s="35"/>
      <c r="I13" s="46"/>
      <c r="J13" s="46"/>
      <c r="K13" s="46"/>
      <c r="L13" s="50"/>
    </row>
    <row r="14" spans="1:12" ht="68.099999999999994" customHeight="1" x14ac:dyDescent="0.25">
      <c r="A14" s="1">
        <v>8</v>
      </c>
      <c r="B14" s="32"/>
      <c r="C14" s="32"/>
      <c r="D14" s="32"/>
      <c r="E14" s="34"/>
      <c r="F14" s="34"/>
      <c r="G14" s="34"/>
      <c r="H14" s="35"/>
      <c r="I14" s="46"/>
      <c r="J14" s="46"/>
      <c r="K14" s="46"/>
      <c r="L14" s="50"/>
    </row>
    <row r="15" spans="1:12" ht="68.099999999999994" customHeight="1" x14ac:dyDescent="0.25">
      <c r="A15" s="1">
        <v>9</v>
      </c>
      <c r="B15" s="32"/>
      <c r="C15" s="32"/>
      <c r="D15" s="32"/>
      <c r="E15" s="34"/>
      <c r="F15" s="34"/>
      <c r="G15" s="34"/>
      <c r="H15" s="35"/>
      <c r="I15" s="46"/>
      <c r="J15" s="46"/>
      <c r="K15" s="46"/>
      <c r="L15" s="50"/>
    </row>
    <row r="16" spans="1:12" ht="68.099999999999994" customHeight="1" x14ac:dyDescent="0.25">
      <c r="A16" s="1">
        <v>10</v>
      </c>
      <c r="B16" s="32"/>
      <c r="C16" s="32"/>
      <c r="D16" s="32"/>
      <c r="E16" s="34"/>
      <c r="F16" s="34"/>
      <c r="G16" s="34"/>
      <c r="H16" s="35"/>
      <c r="I16" s="46"/>
      <c r="J16" s="46"/>
      <c r="K16" s="46"/>
      <c r="L16" s="50"/>
    </row>
    <row r="17" spans="1:12" ht="68.099999999999994" customHeight="1" x14ac:dyDescent="0.25">
      <c r="A17" s="1">
        <v>11</v>
      </c>
      <c r="B17" s="32"/>
      <c r="C17" s="32"/>
      <c r="D17" s="32"/>
      <c r="E17" s="34"/>
      <c r="F17" s="34"/>
      <c r="G17" s="34"/>
      <c r="H17" s="35"/>
      <c r="I17" s="46"/>
      <c r="J17" s="46"/>
      <c r="K17" s="46"/>
      <c r="L17" s="50"/>
    </row>
    <row r="18" spans="1:12" ht="68.099999999999994" customHeight="1" x14ac:dyDescent="0.25">
      <c r="A18" s="1">
        <v>12</v>
      </c>
      <c r="B18" s="32"/>
      <c r="C18" s="32"/>
      <c r="D18" s="32"/>
      <c r="E18" s="34"/>
      <c r="F18" s="34"/>
      <c r="G18" s="34"/>
      <c r="H18" s="35"/>
      <c r="I18" s="46"/>
      <c r="J18" s="46"/>
      <c r="K18" s="46"/>
      <c r="L18" s="50"/>
    </row>
    <row r="19" spans="1:12" ht="68.099999999999994" customHeight="1" x14ac:dyDescent="0.25">
      <c r="A19" s="1">
        <v>13</v>
      </c>
      <c r="B19" s="32"/>
      <c r="C19" s="32"/>
      <c r="D19" s="32"/>
      <c r="E19" s="34"/>
      <c r="F19" s="34"/>
      <c r="G19" s="34"/>
      <c r="H19" s="35"/>
      <c r="I19" s="46"/>
      <c r="J19" s="46"/>
      <c r="K19" s="46"/>
      <c r="L19" s="50"/>
    </row>
    <row r="20" spans="1:12" ht="68.099999999999994" customHeight="1" x14ac:dyDescent="0.25">
      <c r="A20" s="1">
        <v>14</v>
      </c>
      <c r="B20" s="32"/>
      <c r="C20" s="32"/>
      <c r="D20" s="32"/>
      <c r="E20" s="34"/>
      <c r="F20" s="34"/>
      <c r="G20" s="34"/>
      <c r="H20" s="35"/>
      <c r="I20" s="46"/>
      <c r="J20" s="46"/>
      <c r="K20" s="46"/>
      <c r="L20" s="50"/>
    </row>
    <row r="21" spans="1:12" ht="68.099999999999994" customHeight="1" x14ac:dyDescent="0.25">
      <c r="A21" s="1">
        <v>15</v>
      </c>
      <c r="B21" s="32"/>
      <c r="C21" s="32"/>
      <c r="D21" s="32"/>
      <c r="E21" s="34"/>
      <c r="F21" s="34"/>
      <c r="G21" s="34"/>
      <c r="H21" s="35"/>
      <c r="I21" s="46"/>
      <c r="J21" s="46"/>
      <c r="K21" s="46"/>
      <c r="L21" s="50"/>
    </row>
    <row r="22" spans="1:12" ht="68.099999999999994" customHeight="1" x14ac:dyDescent="0.25">
      <c r="A22" s="1">
        <v>16</v>
      </c>
      <c r="B22" s="32"/>
      <c r="C22" s="32"/>
      <c r="D22" s="32"/>
      <c r="E22" s="34"/>
      <c r="F22" s="34"/>
      <c r="G22" s="34"/>
      <c r="H22" s="35"/>
      <c r="I22" s="46"/>
      <c r="J22" s="46"/>
      <c r="K22" s="46"/>
      <c r="L22" s="50"/>
    </row>
    <row r="23" spans="1:12" ht="68.099999999999994" customHeight="1" x14ac:dyDescent="0.25">
      <c r="A23" s="1">
        <v>17</v>
      </c>
      <c r="B23" s="32"/>
      <c r="C23" s="32"/>
      <c r="D23" s="32"/>
      <c r="E23" s="34"/>
      <c r="F23" s="34"/>
      <c r="G23" s="34"/>
      <c r="H23" s="35"/>
      <c r="I23" s="46"/>
      <c r="J23" s="46"/>
      <c r="K23" s="46"/>
      <c r="L23" s="50"/>
    </row>
    <row r="24" spans="1:12" ht="68.099999999999994" customHeight="1" x14ac:dyDescent="0.25">
      <c r="A24" s="1">
        <v>18</v>
      </c>
      <c r="B24" s="32"/>
      <c r="C24" s="32"/>
      <c r="D24" s="32"/>
      <c r="E24" s="34"/>
      <c r="F24" s="34"/>
      <c r="G24" s="34"/>
      <c r="H24" s="35"/>
      <c r="I24" s="46"/>
      <c r="J24" s="46"/>
      <c r="K24" s="46"/>
      <c r="L24" s="50"/>
    </row>
    <row r="25" spans="1:12" ht="68.099999999999994" customHeight="1" x14ac:dyDescent="0.25">
      <c r="A25" s="1">
        <v>19</v>
      </c>
      <c r="B25" s="32"/>
      <c r="C25" s="32"/>
      <c r="D25" s="32"/>
      <c r="E25" s="34"/>
      <c r="F25" s="34"/>
      <c r="G25" s="34"/>
      <c r="H25" s="35"/>
      <c r="I25" s="46"/>
      <c r="J25" s="46"/>
      <c r="K25" s="46"/>
      <c r="L25" s="50"/>
    </row>
    <row r="26" spans="1:12" ht="68.099999999999994" customHeight="1" x14ac:dyDescent="0.25">
      <c r="A26" s="1">
        <v>20</v>
      </c>
      <c r="B26" s="32"/>
      <c r="C26" s="32"/>
      <c r="D26" s="32"/>
      <c r="E26" s="34"/>
      <c r="F26" s="34"/>
      <c r="G26" s="34"/>
      <c r="H26" s="35"/>
      <c r="I26" s="46"/>
      <c r="J26" s="46"/>
      <c r="K26" s="46"/>
      <c r="L26" s="50"/>
    </row>
    <row r="27" spans="1:12" ht="68.099999999999994" customHeight="1" x14ac:dyDescent="0.25">
      <c r="A27" s="1">
        <v>21</v>
      </c>
      <c r="B27" s="32"/>
      <c r="C27" s="32"/>
      <c r="D27" s="32"/>
      <c r="E27" s="34"/>
      <c r="F27" s="34"/>
      <c r="G27" s="34"/>
      <c r="H27" s="35"/>
      <c r="I27" s="46"/>
      <c r="J27" s="46"/>
      <c r="K27" s="46"/>
      <c r="L27" s="50"/>
    </row>
    <row r="28" spans="1:12" ht="68.099999999999994" customHeight="1" x14ac:dyDescent="0.25">
      <c r="A28" s="1">
        <v>22</v>
      </c>
      <c r="B28" s="32"/>
      <c r="C28" s="32"/>
      <c r="D28" s="32"/>
      <c r="E28" s="34"/>
      <c r="F28" s="34"/>
      <c r="G28" s="34"/>
      <c r="H28" s="35"/>
      <c r="I28" s="46"/>
      <c r="J28" s="46"/>
      <c r="K28" s="46"/>
      <c r="L28" s="50"/>
    </row>
    <row r="29" spans="1:12" ht="68.099999999999994" customHeight="1" x14ac:dyDescent="0.25">
      <c r="A29" s="1">
        <v>23</v>
      </c>
      <c r="B29" s="32"/>
      <c r="C29" s="32"/>
      <c r="D29" s="32"/>
      <c r="E29" s="34"/>
      <c r="F29" s="34"/>
      <c r="G29" s="34"/>
      <c r="H29" s="35"/>
      <c r="I29" s="46"/>
      <c r="J29" s="46"/>
      <c r="K29" s="46"/>
      <c r="L29" s="50"/>
    </row>
    <row r="30" spans="1:12" ht="68.099999999999994" customHeight="1" x14ac:dyDescent="0.25">
      <c r="A30" s="1">
        <v>24</v>
      </c>
      <c r="B30" s="32"/>
      <c r="C30" s="32"/>
      <c r="D30" s="32"/>
      <c r="E30" s="34"/>
      <c r="F30" s="34"/>
      <c r="G30" s="34"/>
      <c r="H30" s="35"/>
      <c r="I30" s="46"/>
      <c r="J30" s="46"/>
      <c r="K30" s="46"/>
      <c r="L30" s="50"/>
    </row>
    <row r="31" spans="1:12" ht="68.099999999999994" customHeight="1" x14ac:dyDescent="0.25">
      <c r="A31" s="1">
        <v>25</v>
      </c>
      <c r="B31" s="32"/>
      <c r="C31" s="32"/>
      <c r="D31" s="32"/>
      <c r="E31" s="34"/>
      <c r="F31" s="34"/>
      <c r="G31" s="34"/>
      <c r="H31" s="35"/>
      <c r="I31" s="46"/>
      <c r="J31" s="46"/>
      <c r="K31" s="46"/>
      <c r="L31" s="50"/>
    </row>
  </sheetData>
  <sheetProtection formatCells="0" formatColumns="0" formatRows="0" insertColumns="0"/>
  <mergeCells count="12">
    <mergeCell ref="F1:K1"/>
    <mergeCell ref="B5:D5"/>
    <mergeCell ref="L5:L6"/>
    <mergeCell ref="A5:A6"/>
    <mergeCell ref="A4:L4"/>
    <mergeCell ref="E2:H3"/>
    <mergeCell ref="E5:G5"/>
    <mergeCell ref="H5:H6"/>
    <mergeCell ref="B2:D2"/>
    <mergeCell ref="K5:K6"/>
    <mergeCell ref="J5:J6"/>
    <mergeCell ref="I5:I6"/>
  </mergeCells>
  <phoneticPr fontId="21" type="noConversion"/>
  <dataValidations count="1">
    <dataValidation type="list" allowBlank="1" showInputMessage="1" showErrorMessage="1" sqref="B7:D31" xr:uid="{D3ED8CCF-D6F4-47E4-9799-F1C83236E76C}">
      <formula1>"Keimanan dan ketaqwaan terhadap Tuhan yang Maha Esa,Kewargaan,Penalaran kritis,Kreativitas,Kolaborasi,Kemandirian,Kesehatan,Komunikasi"</formula1>
    </dataValidation>
  </dataValidations>
  <pageMargins left="0.7" right="0.7" top="0.75" bottom="0.75" header="0.3" footer="0.3"/>
  <pageSetup orientation="portrait" horizontalDpi="360" verticalDpi="36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91DD7-E496-44C5-B18B-AB47B821958B}">
  <dimension ref="A1:G31"/>
  <sheetViews>
    <sheetView zoomScale="86" workbookViewId="0"/>
  </sheetViews>
  <sheetFormatPr defaultRowHeight="15" x14ac:dyDescent="0.25"/>
  <cols>
    <col min="1" max="1" width="9" customWidth="1"/>
    <col min="2" max="2" width="27.140625" customWidth="1"/>
    <col min="3" max="3" width="32.42578125" customWidth="1"/>
    <col min="4" max="7" width="26.85546875" customWidth="1"/>
  </cols>
  <sheetData>
    <row r="1" spans="1:7" ht="50.25" customHeight="1" x14ac:dyDescent="0.25">
      <c r="A1" s="28"/>
      <c r="B1" s="51"/>
      <c r="C1" s="96" t="s">
        <v>54</v>
      </c>
      <c r="D1" s="96"/>
      <c r="E1" s="96"/>
      <c r="F1" s="96"/>
      <c r="G1" s="96"/>
    </row>
    <row r="2" spans="1:7" hidden="1" x14ac:dyDescent="0.25">
      <c r="A2" s="37"/>
      <c r="B2" s="109"/>
      <c r="C2" s="109"/>
      <c r="D2" s="105"/>
      <c r="E2" s="106"/>
      <c r="F2" s="106"/>
      <c r="G2" s="106"/>
    </row>
    <row r="3" spans="1:7" hidden="1" x14ac:dyDescent="0.25">
      <c r="A3" s="38"/>
      <c r="B3" s="29"/>
      <c r="C3" s="29"/>
      <c r="D3" s="105"/>
      <c r="E3" s="106"/>
      <c r="F3" s="106"/>
      <c r="G3" s="106"/>
    </row>
    <row r="4" spans="1:7" x14ac:dyDescent="0.25">
      <c r="A4" s="103"/>
      <c r="B4" s="104"/>
      <c r="C4" s="104"/>
      <c r="D4" s="104"/>
      <c r="E4" s="104"/>
      <c r="F4" s="104"/>
      <c r="G4" s="104"/>
    </row>
    <row r="5" spans="1:7" ht="15" customHeight="1" x14ac:dyDescent="0.25">
      <c r="A5" s="101" t="s">
        <v>10</v>
      </c>
      <c r="B5" s="112" t="s">
        <v>109</v>
      </c>
      <c r="C5" s="113"/>
      <c r="D5" s="113"/>
      <c r="E5" s="113"/>
      <c r="F5" s="114"/>
      <c r="G5" s="115" t="s">
        <v>96</v>
      </c>
    </row>
    <row r="6" spans="1:7" ht="29.25" customHeight="1" x14ac:dyDescent="0.25">
      <c r="A6" s="102"/>
      <c r="B6" s="31" t="s">
        <v>89</v>
      </c>
      <c r="C6" s="31" t="s">
        <v>100</v>
      </c>
      <c r="D6" s="31" t="s">
        <v>99</v>
      </c>
      <c r="E6" s="31" t="s">
        <v>98</v>
      </c>
      <c r="F6" s="31" t="s">
        <v>97</v>
      </c>
      <c r="G6" s="116"/>
    </row>
    <row r="7" spans="1:7" ht="68.099999999999994" customHeight="1" x14ac:dyDescent="0.25">
      <c r="A7" s="1">
        <v>1</v>
      </c>
      <c r="B7" s="46" t="s">
        <v>46</v>
      </c>
      <c r="C7" s="46" t="s">
        <v>101</v>
      </c>
      <c r="D7" s="46" t="s">
        <v>102</v>
      </c>
      <c r="E7" s="46" t="s">
        <v>103</v>
      </c>
      <c r="F7" s="46" t="s">
        <v>104</v>
      </c>
      <c r="G7" s="46" t="s">
        <v>105</v>
      </c>
    </row>
    <row r="8" spans="1:7" ht="68.099999999999994" customHeight="1" x14ac:dyDescent="0.25">
      <c r="A8" s="1">
        <v>2</v>
      </c>
      <c r="B8" s="46" t="s">
        <v>55</v>
      </c>
      <c r="C8" s="46" t="s">
        <v>101</v>
      </c>
      <c r="D8" s="46" t="s">
        <v>46</v>
      </c>
      <c r="E8" s="46" t="s">
        <v>47</v>
      </c>
      <c r="F8" s="46" t="s">
        <v>50</v>
      </c>
      <c r="G8" s="46" t="s">
        <v>105</v>
      </c>
    </row>
    <row r="9" spans="1:7" ht="68.099999999999994" customHeight="1" x14ac:dyDescent="0.25">
      <c r="A9" s="1">
        <v>3</v>
      </c>
      <c r="B9" s="46" t="s">
        <v>55</v>
      </c>
      <c r="C9" s="46" t="s">
        <v>101</v>
      </c>
      <c r="D9" s="46" t="s">
        <v>46</v>
      </c>
      <c r="E9" s="46" t="s">
        <v>47</v>
      </c>
      <c r="F9" s="46" t="s">
        <v>50</v>
      </c>
      <c r="G9" s="46" t="s">
        <v>105</v>
      </c>
    </row>
    <row r="10" spans="1:7" ht="68.099999999999994" customHeight="1" x14ac:dyDescent="0.25">
      <c r="A10" s="1">
        <v>4</v>
      </c>
      <c r="B10" s="46"/>
      <c r="C10" s="46"/>
      <c r="D10" s="46"/>
      <c r="E10" s="46"/>
      <c r="F10" s="46"/>
      <c r="G10" s="46"/>
    </row>
    <row r="11" spans="1:7" ht="68.099999999999994" customHeight="1" x14ac:dyDescent="0.25">
      <c r="A11" s="1">
        <v>5</v>
      </c>
      <c r="B11" s="46"/>
      <c r="C11" s="46"/>
      <c r="D11" s="46"/>
      <c r="E11" s="46"/>
      <c r="F11" s="46"/>
      <c r="G11" s="46"/>
    </row>
    <row r="12" spans="1:7" ht="68.099999999999994" customHeight="1" x14ac:dyDescent="0.25">
      <c r="A12" s="1">
        <v>6</v>
      </c>
      <c r="B12" s="46"/>
      <c r="C12" s="46"/>
      <c r="D12" s="46"/>
      <c r="E12" s="46"/>
      <c r="F12" s="46"/>
      <c r="G12" s="46"/>
    </row>
    <row r="13" spans="1:7" ht="68.099999999999994" customHeight="1" x14ac:dyDescent="0.25">
      <c r="A13" s="1">
        <v>7</v>
      </c>
      <c r="B13" s="46"/>
      <c r="C13" s="46"/>
      <c r="D13" s="46"/>
      <c r="E13" s="46"/>
      <c r="F13" s="46"/>
      <c r="G13" s="46"/>
    </row>
    <row r="14" spans="1:7" ht="68.099999999999994" customHeight="1" x14ac:dyDescent="0.25">
      <c r="A14" s="1">
        <v>8</v>
      </c>
      <c r="B14" s="46"/>
      <c r="C14" s="46"/>
      <c r="D14" s="46"/>
      <c r="E14" s="46"/>
      <c r="F14" s="46"/>
      <c r="G14" s="46"/>
    </row>
    <row r="15" spans="1:7" ht="68.099999999999994" customHeight="1" x14ac:dyDescent="0.25">
      <c r="A15" s="1">
        <v>9</v>
      </c>
      <c r="B15" s="46"/>
      <c r="C15" s="46"/>
      <c r="D15" s="46"/>
      <c r="E15" s="46"/>
      <c r="F15" s="46"/>
      <c r="G15" s="46"/>
    </row>
    <row r="16" spans="1:7" ht="68.099999999999994" customHeight="1" x14ac:dyDescent="0.25">
      <c r="A16" s="1">
        <v>10</v>
      </c>
      <c r="B16" s="46"/>
      <c r="C16" s="46"/>
      <c r="D16" s="46"/>
      <c r="E16" s="46"/>
      <c r="F16" s="46"/>
      <c r="G16" s="46"/>
    </row>
    <row r="17" spans="1:7" ht="68.099999999999994" customHeight="1" x14ac:dyDescent="0.25">
      <c r="A17" s="1">
        <v>11</v>
      </c>
      <c r="B17" s="46"/>
      <c r="C17" s="46"/>
      <c r="D17" s="46"/>
      <c r="E17" s="46"/>
      <c r="F17" s="46"/>
      <c r="G17" s="46"/>
    </row>
    <row r="18" spans="1:7" ht="68.099999999999994" customHeight="1" x14ac:dyDescent="0.25">
      <c r="A18" s="1">
        <v>12</v>
      </c>
      <c r="B18" s="46"/>
      <c r="C18" s="46"/>
      <c r="D18" s="46"/>
      <c r="E18" s="46"/>
      <c r="F18" s="46"/>
      <c r="G18" s="46"/>
    </row>
    <row r="19" spans="1:7" ht="68.099999999999994" customHeight="1" x14ac:dyDescent="0.25">
      <c r="A19" s="1">
        <v>13</v>
      </c>
      <c r="B19" s="46"/>
      <c r="C19" s="46"/>
      <c r="D19" s="46"/>
      <c r="E19" s="46"/>
      <c r="F19" s="46"/>
      <c r="G19" s="46"/>
    </row>
    <row r="20" spans="1:7" ht="68.099999999999994" customHeight="1" x14ac:dyDescent="0.25">
      <c r="A20" s="1">
        <v>14</v>
      </c>
      <c r="B20" s="46"/>
      <c r="C20" s="46"/>
      <c r="D20" s="46"/>
      <c r="E20" s="46"/>
      <c r="F20" s="46"/>
      <c r="G20" s="46"/>
    </row>
    <row r="21" spans="1:7" ht="68.099999999999994" customHeight="1" x14ac:dyDescent="0.25">
      <c r="A21" s="1">
        <v>15</v>
      </c>
      <c r="B21" s="46"/>
      <c r="C21" s="46"/>
      <c r="D21" s="46"/>
      <c r="E21" s="46"/>
      <c r="F21" s="46"/>
      <c r="G21" s="46"/>
    </row>
    <row r="22" spans="1:7" ht="68.099999999999994" customHeight="1" x14ac:dyDescent="0.25">
      <c r="A22" s="1">
        <v>16</v>
      </c>
      <c r="B22" s="46"/>
      <c r="C22" s="46"/>
      <c r="D22" s="46"/>
      <c r="E22" s="46"/>
      <c r="F22" s="46"/>
      <c r="G22" s="46"/>
    </row>
    <row r="23" spans="1:7" ht="68.099999999999994" customHeight="1" x14ac:dyDescent="0.25">
      <c r="A23" s="1">
        <v>17</v>
      </c>
      <c r="B23" s="46"/>
      <c r="C23" s="46"/>
      <c r="D23" s="46"/>
      <c r="E23" s="46"/>
      <c r="F23" s="46"/>
      <c r="G23" s="46"/>
    </row>
    <row r="24" spans="1:7" ht="68.099999999999994" customHeight="1" x14ac:dyDescent="0.25">
      <c r="A24" s="1">
        <v>18</v>
      </c>
      <c r="B24" s="46"/>
      <c r="C24" s="46"/>
      <c r="D24" s="46"/>
      <c r="E24" s="46"/>
      <c r="F24" s="46"/>
      <c r="G24" s="46"/>
    </row>
    <row r="25" spans="1:7" ht="68.099999999999994" customHeight="1" x14ac:dyDescent="0.25">
      <c r="A25" s="1">
        <v>19</v>
      </c>
      <c r="B25" s="46"/>
      <c r="C25" s="46"/>
      <c r="D25" s="46"/>
      <c r="E25" s="46"/>
      <c r="F25" s="46"/>
      <c r="G25" s="46"/>
    </row>
    <row r="26" spans="1:7" ht="68.099999999999994" customHeight="1" x14ac:dyDescent="0.25">
      <c r="A26" s="1">
        <v>20</v>
      </c>
      <c r="B26" s="46"/>
      <c r="C26" s="46"/>
      <c r="D26" s="46"/>
      <c r="E26" s="46"/>
      <c r="F26" s="46"/>
      <c r="G26" s="46"/>
    </row>
    <row r="27" spans="1:7" ht="68.099999999999994" customHeight="1" x14ac:dyDescent="0.25">
      <c r="A27" s="1">
        <v>21</v>
      </c>
      <c r="B27" s="46"/>
      <c r="C27" s="46"/>
      <c r="D27" s="46"/>
      <c r="E27" s="46"/>
      <c r="F27" s="46"/>
      <c r="G27" s="46"/>
    </row>
    <row r="28" spans="1:7" ht="68.099999999999994" customHeight="1" x14ac:dyDescent="0.25">
      <c r="A28" s="1">
        <v>22</v>
      </c>
      <c r="B28" s="46"/>
      <c r="C28" s="46"/>
      <c r="D28" s="46"/>
      <c r="E28" s="46"/>
      <c r="F28" s="46"/>
      <c r="G28" s="46"/>
    </row>
    <row r="29" spans="1:7" ht="68.099999999999994" customHeight="1" x14ac:dyDescent="0.25">
      <c r="A29" s="1">
        <v>23</v>
      </c>
      <c r="B29" s="46"/>
      <c r="C29" s="46"/>
      <c r="D29" s="46"/>
      <c r="E29" s="46"/>
      <c r="F29" s="46"/>
      <c r="G29" s="46"/>
    </row>
    <row r="30" spans="1:7" ht="68.099999999999994" customHeight="1" x14ac:dyDescent="0.25">
      <c r="A30" s="1">
        <v>24</v>
      </c>
      <c r="B30" s="46"/>
      <c r="C30" s="46"/>
      <c r="D30" s="46"/>
      <c r="E30" s="46"/>
      <c r="F30" s="46"/>
      <c r="G30" s="46"/>
    </row>
    <row r="31" spans="1:7" ht="68.099999999999994" customHeight="1" x14ac:dyDescent="0.25">
      <c r="A31" s="1">
        <v>25</v>
      </c>
      <c r="B31" s="46"/>
      <c r="C31" s="46"/>
      <c r="D31" s="46"/>
      <c r="E31" s="46"/>
      <c r="F31" s="46"/>
      <c r="G31" s="46"/>
    </row>
  </sheetData>
  <sheetProtection formatCells="0" formatColumns="0" formatRows="0" insertColumns="0"/>
  <mergeCells count="7">
    <mergeCell ref="C1:G1"/>
    <mergeCell ref="B2:C2"/>
    <mergeCell ref="D2:G3"/>
    <mergeCell ref="A4:G4"/>
    <mergeCell ref="A5:A6"/>
    <mergeCell ref="B5:F5"/>
    <mergeCell ref="G5:G6"/>
  </mergeCells>
  <pageMargins left="0.7" right="0.7" top="0.75" bottom="0.75" header="0.3" footer="0.3"/>
  <pageSetup orientation="portrait" horizontalDpi="360" verticalDpi="36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F703-C788-44FA-A235-F0D9C77E8F9A}">
  <dimension ref="A1:D30"/>
  <sheetViews>
    <sheetView zoomScale="86" workbookViewId="0"/>
  </sheetViews>
  <sheetFormatPr defaultRowHeight="15" x14ac:dyDescent="0.25"/>
  <cols>
    <col min="1" max="1" width="9" customWidth="1"/>
    <col min="2" max="4" width="57" customWidth="1"/>
  </cols>
  <sheetData>
    <row r="1" spans="1:4" ht="50.25" customHeight="1" x14ac:dyDescent="0.25">
      <c r="A1" s="28"/>
      <c r="B1" s="51"/>
      <c r="C1" s="96" t="s">
        <v>113</v>
      </c>
      <c r="D1" s="96"/>
    </row>
    <row r="2" spans="1:4" ht="15.75" hidden="1" x14ac:dyDescent="0.25">
      <c r="A2" s="37"/>
      <c r="B2" s="105"/>
      <c r="C2" s="36"/>
    </row>
    <row r="3" spans="1:4" ht="15.75" hidden="1" x14ac:dyDescent="0.25">
      <c r="A3" s="38"/>
      <c r="B3" s="105"/>
      <c r="C3" s="36"/>
    </row>
    <row r="4" spans="1:4" x14ac:dyDescent="0.25">
      <c r="A4" s="103"/>
      <c r="B4" s="104"/>
      <c r="C4" s="104"/>
      <c r="D4" s="104"/>
    </row>
    <row r="5" spans="1:4" x14ac:dyDescent="0.25">
      <c r="A5" s="60" t="s">
        <v>10</v>
      </c>
      <c r="B5" s="61" t="s">
        <v>110</v>
      </c>
      <c r="C5" s="61" t="s">
        <v>111</v>
      </c>
      <c r="D5" s="62" t="s">
        <v>112</v>
      </c>
    </row>
    <row r="6" spans="1:4" ht="68.099999999999994" customHeight="1" x14ac:dyDescent="0.25">
      <c r="A6" s="1">
        <v>1</v>
      </c>
      <c r="B6" s="46" t="s">
        <v>115</v>
      </c>
      <c r="C6" s="46" t="s">
        <v>116</v>
      </c>
      <c r="D6" s="46" t="s">
        <v>114</v>
      </c>
    </row>
    <row r="7" spans="1:4" ht="68.099999999999994" customHeight="1" x14ac:dyDescent="0.25">
      <c r="A7" s="1">
        <v>2</v>
      </c>
      <c r="B7" s="46" t="s">
        <v>115</v>
      </c>
      <c r="C7" s="46" t="s">
        <v>116</v>
      </c>
      <c r="D7" s="46" t="s">
        <v>114</v>
      </c>
    </row>
    <row r="8" spans="1:4" ht="68.099999999999994" customHeight="1" x14ac:dyDescent="0.25">
      <c r="A8" s="1">
        <v>3</v>
      </c>
      <c r="B8" s="46" t="s">
        <v>115</v>
      </c>
      <c r="C8" s="46" t="s">
        <v>116</v>
      </c>
      <c r="D8" s="46" t="s">
        <v>114</v>
      </c>
    </row>
    <row r="9" spans="1:4" ht="68.099999999999994" customHeight="1" x14ac:dyDescent="0.25">
      <c r="A9" s="1">
        <v>4</v>
      </c>
      <c r="B9" s="46"/>
      <c r="C9" s="46"/>
      <c r="D9" s="46"/>
    </row>
    <row r="10" spans="1:4" ht="68.099999999999994" customHeight="1" x14ac:dyDescent="0.25">
      <c r="A10" s="1">
        <v>5</v>
      </c>
      <c r="B10" s="46"/>
      <c r="C10" s="46"/>
      <c r="D10" s="46"/>
    </row>
    <row r="11" spans="1:4" ht="68.099999999999994" customHeight="1" x14ac:dyDescent="0.25">
      <c r="A11" s="1">
        <v>6</v>
      </c>
      <c r="B11" s="46"/>
      <c r="C11" s="46"/>
      <c r="D11" s="46"/>
    </row>
    <row r="12" spans="1:4" ht="68.099999999999994" customHeight="1" x14ac:dyDescent="0.25">
      <c r="A12" s="1">
        <v>7</v>
      </c>
      <c r="B12" s="46"/>
      <c r="C12" s="46"/>
      <c r="D12" s="46"/>
    </row>
    <row r="13" spans="1:4" ht="68.099999999999994" customHeight="1" x14ac:dyDescent="0.25">
      <c r="A13" s="1">
        <v>8</v>
      </c>
      <c r="B13" s="46"/>
      <c r="C13" s="46"/>
      <c r="D13" s="46"/>
    </row>
    <row r="14" spans="1:4" ht="68.099999999999994" customHeight="1" x14ac:dyDescent="0.25">
      <c r="A14" s="1">
        <v>9</v>
      </c>
      <c r="B14" s="46"/>
      <c r="C14" s="46"/>
      <c r="D14" s="46"/>
    </row>
    <row r="15" spans="1:4" ht="68.099999999999994" customHeight="1" x14ac:dyDescent="0.25">
      <c r="A15" s="1">
        <v>10</v>
      </c>
      <c r="B15" s="46"/>
      <c r="C15" s="46"/>
      <c r="D15" s="46"/>
    </row>
    <row r="16" spans="1:4" ht="68.099999999999994" customHeight="1" x14ac:dyDescent="0.25">
      <c r="A16" s="1">
        <v>11</v>
      </c>
      <c r="B16" s="46"/>
      <c r="C16" s="46"/>
      <c r="D16" s="46"/>
    </row>
    <row r="17" spans="1:4" ht="68.099999999999994" customHeight="1" x14ac:dyDescent="0.25">
      <c r="A17" s="1">
        <v>12</v>
      </c>
      <c r="B17" s="46"/>
      <c r="C17" s="46"/>
      <c r="D17" s="46"/>
    </row>
    <row r="18" spans="1:4" ht="68.099999999999994" customHeight="1" x14ac:dyDescent="0.25">
      <c r="A18" s="1">
        <v>13</v>
      </c>
      <c r="B18" s="46"/>
      <c r="C18" s="46"/>
      <c r="D18" s="46"/>
    </row>
    <row r="19" spans="1:4" ht="68.099999999999994" customHeight="1" x14ac:dyDescent="0.25">
      <c r="A19" s="1">
        <v>14</v>
      </c>
      <c r="B19" s="46"/>
      <c r="C19" s="46"/>
      <c r="D19" s="46"/>
    </row>
    <row r="20" spans="1:4" ht="68.099999999999994" customHeight="1" x14ac:dyDescent="0.25">
      <c r="A20" s="1">
        <v>15</v>
      </c>
      <c r="B20" s="46"/>
      <c r="C20" s="46"/>
      <c r="D20" s="46"/>
    </row>
    <row r="21" spans="1:4" ht="68.099999999999994" customHeight="1" x14ac:dyDescent="0.25">
      <c r="A21" s="1">
        <v>16</v>
      </c>
      <c r="B21" s="46"/>
      <c r="C21" s="46"/>
      <c r="D21" s="46"/>
    </row>
    <row r="22" spans="1:4" ht="68.099999999999994" customHeight="1" x14ac:dyDescent="0.25">
      <c r="A22" s="1">
        <v>17</v>
      </c>
      <c r="B22" s="46"/>
      <c r="C22" s="46"/>
      <c r="D22" s="46"/>
    </row>
    <row r="23" spans="1:4" ht="68.099999999999994" customHeight="1" x14ac:dyDescent="0.25">
      <c r="A23" s="1">
        <v>18</v>
      </c>
      <c r="B23" s="46"/>
      <c r="C23" s="46"/>
      <c r="D23" s="46"/>
    </row>
    <row r="24" spans="1:4" ht="68.099999999999994" customHeight="1" x14ac:dyDescent="0.25">
      <c r="A24" s="1">
        <v>19</v>
      </c>
      <c r="B24" s="46"/>
      <c r="C24" s="46"/>
      <c r="D24" s="46"/>
    </row>
    <row r="25" spans="1:4" ht="68.099999999999994" customHeight="1" x14ac:dyDescent="0.25">
      <c r="A25" s="1">
        <v>20</v>
      </c>
      <c r="B25" s="46"/>
      <c r="C25" s="46"/>
      <c r="D25" s="46"/>
    </row>
    <row r="26" spans="1:4" ht="68.099999999999994" customHeight="1" x14ac:dyDescent="0.25">
      <c r="A26" s="1">
        <v>21</v>
      </c>
      <c r="B26" s="46"/>
      <c r="C26" s="46"/>
      <c r="D26" s="46"/>
    </row>
    <row r="27" spans="1:4" ht="68.099999999999994" customHeight="1" x14ac:dyDescent="0.25">
      <c r="A27" s="1">
        <v>22</v>
      </c>
      <c r="B27" s="46"/>
      <c r="C27" s="46"/>
      <c r="D27" s="46"/>
    </row>
    <row r="28" spans="1:4" ht="68.099999999999994" customHeight="1" x14ac:dyDescent="0.25">
      <c r="A28" s="1">
        <v>23</v>
      </c>
      <c r="B28" s="46"/>
      <c r="C28" s="46"/>
      <c r="D28" s="46"/>
    </row>
    <row r="29" spans="1:4" ht="68.099999999999994" customHeight="1" x14ac:dyDescent="0.25">
      <c r="A29" s="1">
        <v>24</v>
      </c>
      <c r="B29" s="46"/>
      <c r="C29" s="46"/>
      <c r="D29" s="46"/>
    </row>
    <row r="30" spans="1:4" ht="68.099999999999994" customHeight="1" x14ac:dyDescent="0.25">
      <c r="A30" s="1">
        <v>25</v>
      </c>
      <c r="B30" s="46"/>
      <c r="C30" s="46"/>
      <c r="D30" s="46"/>
    </row>
  </sheetData>
  <sheetProtection formatCells="0" formatColumns="0" formatRows="0" insertColumns="0"/>
  <mergeCells count="3">
    <mergeCell ref="B2:B3"/>
    <mergeCell ref="A4:D4"/>
    <mergeCell ref="C1:D1"/>
  </mergeCells>
  <pageMargins left="0.7" right="0.7" top="0.75" bottom="0.75" header="0.3" footer="0.3"/>
  <pageSetup orientation="portrait" horizontalDpi="360" verticalDpi="360"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66"/>
  <sheetViews>
    <sheetView tabSelected="1" view="pageBreakPreview" zoomScale="71" zoomScaleNormal="71" zoomScaleSheetLayoutView="71" workbookViewId="0">
      <selection sqref="A1:L1"/>
    </sheetView>
  </sheetViews>
  <sheetFormatPr defaultRowHeight="15" x14ac:dyDescent="0.25"/>
  <cols>
    <col min="1" max="1" width="3.7109375" customWidth="1"/>
    <col min="2" max="3" width="2.42578125" customWidth="1"/>
    <col min="4" max="4" width="10.85546875" customWidth="1"/>
    <col min="5" max="5" width="4.140625" customWidth="1"/>
    <col min="6" max="6" width="2.140625" customWidth="1"/>
    <col min="9" max="9" width="2.5703125" customWidth="1"/>
    <col min="11" max="11" width="33.140625" customWidth="1"/>
    <col min="12" max="12" width="3.5703125" customWidth="1"/>
    <col min="13" max="13" width="13.140625" customWidth="1"/>
    <col min="16" max="16" width="9.140625" customWidth="1"/>
  </cols>
  <sheetData>
    <row r="1" spans="1:20" ht="23.25" x14ac:dyDescent="0.35">
      <c r="A1" s="134" t="s">
        <v>20</v>
      </c>
      <c r="B1" s="134"/>
      <c r="C1" s="134"/>
      <c r="D1" s="134"/>
      <c r="E1" s="134"/>
      <c r="F1" s="134"/>
      <c r="G1" s="134"/>
      <c r="H1" s="134"/>
      <c r="I1" s="134"/>
      <c r="J1" s="134"/>
      <c r="K1" s="134"/>
      <c r="L1" s="134"/>
      <c r="M1" s="47">
        <v>0</v>
      </c>
      <c r="N1" s="133"/>
      <c r="O1" s="133"/>
      <c r="P1" s="133"/>
      <c r="Q1" s="133"/>
      <c r="R1" s="133"/>
      <c r="S1" s="7"/>
      <c r="T1" s="7"/>
    </row>
    <row r="2" spans="1:20" ht="23.25" x14ac:dyDescent="0.35">
      <c r="A2" s="134" t="s">
        <v>123</v>
      </c>
      <c r="B2" s="134"/>
      <c r="C2" s="134"/>
      <c r="D2" s="134"/>
      <c r="E2" s="134"/>
      <c r="F2" s="134"/>
      <c r="G2" s="134"/>
      <c r="H2" s="134"/>
      <c r="I2" s="134"/>
      <c r="J2" s="134"/>
      <c r="K2" s="134"/>
      <c r="L2" s="134"/>
      <c r="M2" s="49"/>
      <c r="N2" s="133"/>
      <c r="O2" s="133"/>
      <c r="P2" s="133"/>
      <c r="Q2" s="133"/>
      <c r="R2" s="133"/>
      <c r="S2" s="7"/>
      <c r="T2" s="7"/>
    </row>
    <row r="3" spans="1:20" ht="56.25" customHeight="1" x14ac:dyDescent="0.35">
      <c r="A3" s="24"/>
      <c r="B3" s="24"/>
      <c r="C3" s="24"/>
      <c r="D3" s="24"/>
      <c r="E3" s="24"/>
      <c r="F3" s="24"/>
      <c r="G3" s="24"/>
      <c r="H3" s="24"/>
      <c r="I3" s="24"/>
      <c r="J3" s="24"/>
      <c r="K3" s="24"/>
      <c r="L3" s="24"/>
      <c r="M3" s="48"/>
      <c r="N3" s="133"/>
      <c r="O3" s="133"/>
      <c r="P3" s="133"/>
      <c r="Q3" s="133"/>
      <c r="R3" s="133"/>
      <c r="S3" s="7"/>
      <c r="T3" s="7"/>
    </row>
    <row r="4" spans="1:20" ht="15" customHeight="1" x14ac:dyDescent="0.25">
      <c r="A4" s="10" t="s">
        <v>0</v>
      </c>
      <c r="B4" s="10"/>
      <c r="C4" s="10"/>
      <c r="D4" s="10"/>
      <c r="E4" s="11" t="s">
        <v>1</v>
      </c>
      <c r="F4" s="9" t="str">
        <f>'HALAMAN AWAL'!$D$8</f>
        <v>SMA JAYA 1</v>
      </c>
      <c r="G4" s="9"/>
      <c r="H4" s="9"/>
      <c r="I4" s="9"/>
      <c r="J4" s="9"/>
      <c r="K4" s="9"/>
      <c r="L4" s="12"/>
      <c r="M4" s="3" t="s">
        <v>12</v>
      </c>
      <c r="N4" s="133"/>
      <c r="O4" s="133"/>
      <c r="P4" s="133"/>
      <c r="Q4" s="133"/>
      <c r="R4" s="133"/>
      <c r="S4" s="7"/>
      <c r="T4" s="7"/>
    </row>
    <row r="5" spans="1:20" ht="15" customHeight="1" x14ac:dyDescent="0.25">
      <c r="A5" s="10" t="s">
        <v>6</v>
      </c>
      <c r="B5" s="10"/>
      <c r="C5" s="10"/>
      <c r="D5" s="10"/>
      <c r="E5" s="11" t="s">
        <v>1</v>
      </c>
      <c r="F5" s="9" t="str">
        <f>'HALAMAN AWAL'!$D$13</f>
        <v>ILMU PENGETAHUAN ALAM</v>
      </c>
      <c r="G5" s="9"/>
      <c r="H5" s="9"/>
      <c r="I5" s="9"/>
      <c r="J5" s="9"/>
      <c r="K5" s="9"/>
      <c r="L5" s="9"/>
      <c r="N5" s="133"/>
      <c r="O5" s="133"/>
      <c r="P5" s="133"/>
      <c r="Q5" s="133"/>
      <c r="R5" s="133"/>
      <c r="S5" s="7"/>
      <c r="T5" s="7"/>
    </row>
    <row r="6" spans="1:20" ht="15" customHeight="1" x14ac:dyDescent="0.25">
      <c r="A6" s="10" t="s">
        <v>7</v>
      </c>
      <c r="B6" s="10"/>
      <c r="C6" s="10"/>
      <c r="D6" s="10"/>
      <c r="E6" s="11" t="s">
        <v>1</v>
      </c>
      <c r="F6" s="9" t="str">
        <f>'HALAMAN AWAL'!$D$14</f>
        <v>II/ Ganjil (Fase E)</v>
      </c>
      <c r="G6" s="9"/>
      <c r="H6" s="9"/>
      <c r="I6" s="9"/>
      <c r="J6" s="9"/>
      <c r="K6" s="9"/>
      <c r="L6" s="9"/>
      <c r="M6" s="2"/>
      <c r="N6" s="133"/>
      <c r="O6" s="133"/>
      <c r="P6" s="133"/>
      <c r="Q6" s="133"/>
      <c r="R6" s="133"/>
      <c r="S6" s="7"/>
      <c r="T6" s="7"/>
    </row>
    <row r="7" spans="1:20" x14ac:dyDescent="0.25">
      <c r="A7" s="10" t="s">
        <v>11</v>
      </c>
      <c r="B7" s="10"/>
      <c r="C7" s="10"/>
      <c r="D7" s="10"/>
      <c r="E7" s="11" t="s">
        <v>1</v>
      </c>
      <c r="F7" s="9" t="str">
        <f>'HALAMAN AWAL'!$D$17</f>
        <v>2x 40 Menit</v>
      </c>
      <c r="G7" s="9"/>
      <c r="H7" s="9"/>
      <c r="I7" s="9"/>
      <c r="J7" s="9"/>
      <c r="K7" s="9"/>
      <c r="L7" s="9"/>
      <c r="N7" s="133"/>
      <c r="O7" s="133"/>
      <c r="P7" s="133"/>
      <c r="Q7" s="133"/>
      <c r="R7" s="133"/>
      <c r="S7" s="7"/>
      <c r="T7" s="7"/>
    </row>
    <row r="8" spans="1:20" ht="4.5" customHeight="1" x14ac:dyDescent="0.25">
      <c r="A8" s="9"/>
      <c r="B8" s="9"/>
      <c r="C8" s="9"/>
      <c r="D8" s="9"/>
      <c r="E8" s="9"/>
      <c r="F8" s="9"/>
      <c r="G8" s="9"/>
      <c r="H8" s="9"/>
      <c r="I8" s="9"/>
      <c r="J8" s="9"/>
      <c r="K8" s="9"/>
      <c r="L8" s="9"/>
      <c r="M8" s="2"/>
      <c r="N8" s="7"/>
      <c r="O8" s="7"/>
      <c r="P8" s="7"/>
      <c r="Q8" s="7"/>
      <c r="R8" s="7"/>
      <c r="S8" s="7"/>
      <c r="T8" s="7"/>
    </row>
    <row r="9" spans="1:20" x14ac:dyDescent="0.25">
      <c r="A9" s="27" t="s">
        <v>69</v>
      </c>
      <c r="B9" s="135" t="s">
        <v>65</v>
      </c>
      <c r="C9" s="135"/>
      <c r="D9" s="135"/>
      <c r="E9" s="135"/>
      <c r="F9" s="135"/>
      <c r="G9" s="9"/>
      <c r="H9" s="9"/>
      <c r="I9" s="9"/>
      <c r="J9" s="9"/>
      <c r="K9" s="9"/>
      <c r="L9" s="9"/>
      <c r="M9" s="4"/>
      <c r="N9" s="7"/>
      <c r="O9" s="7"/>
      <c r="P9" s="7"/>
      <c r="Q9" s="7"/>
      <c r="R9" s="7"/>
      <c r="S9" s="7"/>
      <c r="T9" s="7"/>
    </row>
    <row r="10" spans="1:20" x14ac:dyDescent="0.25">
      <c r="A10" s="27"/>
      <c r="B10" s="59" t="s">
        <v>66</v>
      </c>
      <c r="C10" s="59"/>
      <c r="D10" s="59"/>
      <c r="E10" s="59"/>
      <c r="F10" s="59"/>
      <c r="G10" s="9"/>
      <c r="H10" s="9"/>
      <c r="I10" s="9"/>
      <c r="J10" s="9"/>
      <c r="K10" s="9"/>
      <c r="L10" s="9"/>
      <c r="M10" s="4"/>
      <c r="N10" s="7"/>
      <c r="O10" s="7"/>
      <c r="P10" s="7"/>
      <c r="Q10" s="7"/>
      <c r="R10" s="7"/>
      <c r="S10" s="7"/>
      <c r="T10" s="7"/>
    </row>
    <row r="11" spans="1:20" ht="48" customHeight="1" x14ac:dyDescent="0.25">
      <c r="A11" s="57"/>
      <c r="C11" s="136" t="e">
        <f>"Kemampuan akademik siswa bervariasi. Sebagian besar siswa menunjukkan penguasaan materi yang cukup baik, namun masih terdapat beberapa siswa yang memerlukan pendampingan tambahan, khususnya dalam memahami "&amp;VLOOKUP(M1,'Desain Pembelajaran'!A7:P31,8,FALSE)</f>
        <v>#N/A</v>
      </c>
      <c r="D11" s="136"/>
      <c r="E11" s="136"/>
      <c r="F11" s="136"/>
      <c r="G11" s="136"/>
      <c r="H11" s="136"/>
      <c r="I11" s="136"/>
      <c r="J11" s="136"/>
      <c r="K11" s="136"/>
      <c r="L11" s="136"/>
      <c r="M11" s="2"/>
      <c r="N11" s="7"/>
      <c r="O11" s="7"/>
      <c r="P11" s="7"/>
      <c r="Q11" s="7"/>
      <c r="R11" s="7"/>
      <c r="S11" s="7"/>
      <c r="T11" s="7"/>
    </row>
    <row r="12" spans="1:20" ht="18" customHeight="1" x14ac:dyDescent="0.25">
      <c r="A12" s="57"/>
      <c r="B12" s="129" t="s">
        <v>67</v>
      </c>
      <c r="C12" s="129"/>
      <c r="D12" s="129"/>
      <c r="E12" s="129"/>
      <c r="F12" s="129"/>
      <c r="G12" s="129"/>
      <c r="H12" s="129"/>
      <c r="I12" s="129"/>
      <c r="J12" s="129"/>
      <c r="K12" s="129"/>
      <c r="L12" s="129"/>
      <c r="M12" s="2"/>
      <c r="N12" s="7"/>
      <c r="O12" s="7"/>
      <c r="P12" s="7"/>
      <c r="Q12" s="7"/>
      <c r="R12" s="7"/>
      <c r="S12" s="7"/>
      <c r="T12" s="7"/>
    </row>
    <row r="13" spans="1:20" ht="18" customHeight="1" x14ac:dyDescent="0.25">
      <c r="A13" s="57"/>
      <c r="B13" s="58"/>
      <c r="C13" s="117" t="e">
        <f>VLOOKUP(M1,'Desain Pembelajaran'!A7:H31,8,FALSE)</f>
        <v>#N/A</v>
      </c>
      <c r="D13" s="117"/>
      <c r="E13" s="117"/>
      <c r="F13" s="117"/>
      <c r="G13" s="117"/>
      <c r="H13" s="117"/>
      <c r="I13" s="117"/>
      <c r="J13" s="117"/>
      <c r="K13" s="117"/>
      <c r="L13" s="117"/>
      <c r="M13" s="2"/>
      <c r="N13" s="7"/>
      <c r="O13" s="7"/>
      <c r="P13" s="7"/>
      <c r="Q13" s="7"/>
      <c r="R13" s="7"/>
      <c r="S13" s="7"/>
      <c r="T13" s="7"/>
    </row>
    <row r="14" spans="1:20" ht="15" customHeight="1" x14ac:dyDescent="0.25">
      <c r="A14" s="27"/>
      <c r="B14" s="129" t="s">
        <v>68</v>
      </c>
      <c r="C14" s="129"/>
      <c r="D14" s="129"/>
      <c r="E14" s="129"/>
      <c r="F14" s="129"/>
      <c r="G14" s="129"/>
      <c r="H14" s="129"/>
      <c r="I14" s="129"/>
      <c r="J14" s="129"/>
      <c r="K14" s="129"/>
      <c r="L14" s="129"/>
      <c r="M14" s="2"/>
      <c r="N14" s="7"/>
      <c r="O14" s="7"/>
      <c r="P14" s="7"/>
      <c r="Q14" s="7"/>
      <c r="R14" s="7"/>
      <c r="S14" s="7"/>
      <c r="T14" s="7"/>
    </row>
    <row r="15" spans="1:20" ht="15" customHeight="1" x14ac:dyDescent="0.25">
      <c r="A15" s="57"/>
      <c r="B15" s="53"/>
      <c r="C15" s="53" t="s">
        <v>17</v>
      </c>
      <c r="D15" s="117" t="e">
        <f>VLOOKUP(M1,'Desain Pembelajaran'!A7:E31,2,FALSE)</f>
        <v>#N/A</v>
      </c>
      <c r="E15" s="117"/>
      <c r="F15" s="117"/>
      <c r="G15" s="117"/>
      <c r="H15" s="117"/>
      <c r="I15" s="117"/>
      <c r="J15" s="117"/>
      <c r="K15" s="117"/>
      <c r="L15" s="117"/>
      <c r="M15" s="2"/>
      <c r="N15" s="7"/>
      <c r="O15" s="7"/>
      <c r="P15" s="7"/>
      <c r="Q15" s="7"/>
      <c r="R15" s="7"/>
      <c r="S15" s="7"/>
      <c r="T15" s="7"/>
    </row>
    <row r="16" spans="1:20" ht="15" customHeight="1" x14ac:dyDescent="0.25">
      <c r="A16" s="57"/>
      <c r="B16" s="53"/>
      <c r="C16" s="53" t="s">
        <v>17</v>
      </c>
      <c r="D16" s="117" t="e">
        <f>VLOOKUP(M1,'Desain Pembelajaran'!A7:E31,3,FALSE)</f>
        <v>#N/A</v>
      </c>
      <c r="E16" s="117"/>
      <c r="F16" s="117"/>
      <c r="G16" s="117"/>
      <c r="H16" s="117"/>
      <c r="I16" s="117"/>
      <c r="J16" s="117"/>
      <c r="K16" s="117"/>
      <c r="L16" s="117"/>
      <c r="M16" s="2"/>
      <c r="N16" s="7"/>
      <c r="O16" s="7"/>
      <c r="P16" s="7"/>
      <c r="Q16" s="7"/>
      <c r="R16" s="7"/>
      <c r="S16" s="7"/>
      <c r="T16" s="7"/>
    </row>
    <row r="17" spans="1:20" ht="15" customHeight="1" x14ac:dyDescent="0.25">
      <c r="A17" s="57"/>
      <c r="B17" s="53"/>
      <c r="C17" s="53" t="s">
        <v>17</v>
      </c>
      <c r="D17" s="117" t="e">
        <f>VLOOKUP(M1,'Desain Pembelajaran'!A7:E31,4,FALSE)</f>
        <v>#N/A</v>
      </c>
      <c r="E17" s="117"/>
      <c r="F17" s="117"/>
      <c r="G17" s="117"/>
      <c r="H17" s="117"/>
      <c r="I17" s="117"/>
      <c r="J17" s="117"/>
      <c r="K17" s="117"/>
      <c r="L17" s="117"/>
      <c r="M17" s="2"/>
      <c r="N17" s="7"/>
      <c r="O17" s="7"/>
      <c r="P17" s="7"/>
      <c r="Q17" s="7"/>
      <c r="R17" s="7"/>
      <c r="S17" s="7"/>
      <c r="T17" s="7"/>
    </row>
    <row r="18" spans="1:20" ht="25.5" customHeight="1" x14ac:dyDescent="0.25">
      <c r="A18" s="63" t="s">
        <v>70</v>
      </c>
      <c r="B18" s="140" t="s">
        <v>71</v>
      </c>
      <c r="C18" s="140"/>
      <c r="D18" s="140"/>
      <c r="E18" s="140"/>
      <c r="F18" s="140"/>
      <c r="G18" s="140"/>
      <c r="H18" s="140"/>
      <c r="I18" s="140"/>
      <c r="J18" s="140"/>
      <c r="K18" s="140"/>
      <c r="L18" s="140"/>
      <c r="M18" s="2"/>
      <c r="N18" s="7"/>
      <c r="O18" s="7"/>
      <c r="P18" s="7"/>
      <c r="Q18" s="7"/>
      <c r="R18" s="7"/>
      <c r="S18" s="7"/>
      <c r="T18" s="7"/>
    </row>
    <row r="19" spans="1:20" ht="14.25" customHeight="1" x14ac:dyDescent="0.25">
      <c r="A19" s="63"/>
      <c r="B19" s="128" t="s">
        <v>72</v>
      </c>
      <c r="C19" s="128"/>
      <c r="D19" s="128"/>
      <c r="E19" s="128"/>
      <c r="F19" s="128"/>
      <c r="G19" s="128"/>
      <c r="H19" s="128"/>
      <c r="I19" s="128"/>
      <c r="J19" s="128"/>
      <c r="K19" s="128"/>
      <c r="L19" s="128"/>
      <c r="M19" s="2"/>
      <c r="N19" s="7"/>
      <c r="O19" s="7"/>
      <c r="P19" s="7"/>
      <c r="Q19" s="7"/>
      <c r="R19" s="7"/>
      <c r="S19" s="7"/>
      <c r="T19" s="7"/>
    </row>
    <row r="20" spans="1:20" ht="16.5" customHeight="1" x14ac:dyDescent="0.25">
      <c r="A20" s="57"/>
      <c r="B20" s="91"/>
      <c r="C20" s="53" t="s">
        <v>17</v>
      </c>
      <c r="D20" s="117" t="e">
        <f>VLOOKUP(M1,'Desain Pembelajaran'!A7:E31,5,FALSE)</f>
        <v>#N/A</v>
      </c>
      <c r="E20" s="117"/>
      <c r="F20" s="117"/>
      <c r="G20" s="117"/>
      <c r="H20" s="117"/>
      <c r="I20" s="117"/>
      <c r="J20" s="117"/>
      <c r="K20" s="117"/>
      <c r="L20" s="117"/>
      <c r="M20" s="2"/>
      <c r="N20" s="7"/>
      <c r="O20" s="7"/>
      <c r="P20" s="7"/>
      <c r="Q20" s="7"/>
      <c r="R20" s="7"/>
      <c r="S20" s="7"/>
      <c r="T20" s="7"/>
    </row>
    <row r="21" spans="1:20" ht="16.5" customHeight="1" x14ac:dyDescent="0.25">
      <c r="A21" s="57"/>
      <c r="B21" s="91"/>
      <c r="C21" s="53" t="s">
        <v>17</v>
      </c>
      <c r="D21" s="117" t="e">
        <f>VLOOKUP(M1,'Desain Pembelajaran'!A7:G31,6,FALSE)</f>
        <v>#N/A</v>
      </c>
      <c r="E21" s="117"/>
      <c r="F21" s="117"/>
      <c r="G21" s="117"/>
      <c r="H21" s="117"/>
      <c r="I21" s="117"/>
      <c r="J21" s="117"/>
      <c r="K21" s="117"/>
      <c r="L21" s="117"/>
      <c r="M21" s="2"/>
      <c r="N21" s="7"/>
      <c r="O21" s="7"/>
      <c r="P21" s="7"/>
      <c r="Q21" s="7"/>
      <c r="R21" s="7"/>
      <c r="S21" s="7"/>
      <c r="T21" s="7"/>
    </row>
    <row r="22" spans="1:20" ht="16.5" customHeight="1" x14ac:dyDescent="0.25">
      <c r="A22" s="57"/>
      <c r="B22" s="91"/>
      <c r="C22" s="53" t="s">
        <v>17</v>
      </c>
      <c r="D22" s="117" t="e">
        <f>VLOOKUP(M1,'Desain Pembelajaran'!A7:G31,7,FALSE)</f>
        <v>#N/A</v>
      </c>
      <c r="E22" s="117"/>
      <c r="F22" s="117"/>
      <c r="G22" s="117"/>
      <c r="H22" s="117"/>
      <c r="I22" s="117"/>
      <c r="J22" s="117"/>
      <c r="K22" s="117"/>
      <c r="L22" s="117"/>
      <c r="M22" s="2"/>
      <c r="N22" s="7"/>
      <c r="O22" s="7"/>
      <c r="P22" s="7"/>
      <c r="Q22" s="7"/>
      <c r="R22" s="7"/>
      <c r="S22" s="7"/>
      <c r="T22" s="7"/>
    </row>
    <row r="23" spans="1:20" ht="18" customHeight="1" x14ac:dyDescent="0.25">
      <c r="A23" s="27"/>
      <c r="B23" s="129" t="s">
        <v>73</v>
      </c>
      <c r="C23" s="129"/>
      <c r="D23" s="129"/>
      <c r="E23" s="129"/>
      <c r="F23" s="129"/>
      <c r="G23" s="129"/>
      <c r="H23" s="129"/>
      <c r="I23" s="129"/>
      <c r="J23" s="129"/>
      <c r="K23" s="129"/>
      <c r="L23" s="129"/>
      <c r="M23" s="2"/>
      <c r="N23" s="7"/>
      <c r="O23" s="7"/>
      <c r="P23" s="7"/>
      <c r="Q23" s="7"/>
      <c r="R23" s="7"/>
      <c r="S23" s="7"/>
      <c r="T23" s="7"/>
    </row>
    <row r="24" spans="1:20" ht="18" customHeight="1" x14ac:dyDescent="0.25">
      <c r="A24" s="27"/>
      <c r="B24" s="53"/>
      <c r="C24" s="117" t="e">
        <f>VLOOKUP(M1,'Desain Pembelajaran'!A7:I31,9,FALSE)</f>
        <v>#N/A</v>
      </c>
      <c r="D24" s="117"/>
      <c r="E24" s="117"/>
      <c r="F24" s="117"/>
      <c r="G24" s="117"/>
      <c r="H24" s="117"/>
      <c r="I24" s="117"/>
      <c r="J24" s="117"/>
      <c r="K24" s="117"/>
      <c r="L24" s="117"/>
      <c r="M24" s="2"/>
      <c r="N24" s="7"/>
      <c r="O24" s="7"/>
      <c r="P24" s="7"/>
      <c r="Q24" s="7"/>
      <c r="R24" s="7"/>
      <c r="S24" s="7"/>
      <c r="T24" s="7"/>
    </row>
    <row r="25" spans="1:20" ht="18" customHeight="1" x14ac:dyDescent="0.25">
      <c r="A25" s="27"/>
      <c r="B25" s="123" t="s">
        <v>74</v>
      </c>
      <c r="C25" s="123"/>
      <c r="D25" s="123"/>
      <c r="E25" s="123"/>
      <c r="F25" s="123"/>
      <c r="G25" s="123"/>
      <c r="H25" s="123"/>
      <c r="I25" s="123"/>
      <c r="J25" s="123"/>
      <c r="K25" s="123"/>
      <c r="L25" s="123"/>
      <c r="M25" s="2"/>
      <c r="N25" s="7"/>
      <c r="O25" s="7"/>
      <c r="P25" s="7"/>
      <c r="Q25" s="7"/>
      <c r="R25" s="7"/>
      <c r="S25" s="7"/>
      <c r="T25" s="7"/>
    </row>
    <row r="26" spans="1:20" ht="32.25" customHeight="1" x14ac:dyDescent="0.25">
      <c r="A26" s="27"/>
      <c r="B26" s="53"/>
      <c r="C26" s="117" t="e">
        <f>VLOOKUP(M1,'Desain Pembelajaran'!A7:J31,10,FALSE)</f>
        <v>#N/A</v>
      </c>
      <c r="D26" s="117"/>
      <c r="E26" s="117"/>
      <c r="F26" s="117"/>
      <c r="G26" s="117"/>
      <c r="H26" s="117"/>
      <c r="I26" s="117"/>
      <c r="J26" s="117"/>
      <c r="K26" s="117"/>
      <c r="L26" s="117"/>
      <c r="M26" s="2"/>
      <c r="N26" s="7"/>
      <c r="O26" s="7"/>
      <c r="P26" s="7"/>
      <c r="Q26" s="7"/>
      <c r="R26" s="7"/>
      <c r="S26" s="7"/>
      <c r="T26" s="7"/>
    </row>
    <row r="27" spans="1:20" ht="20.100000000000001" customHeight="1" x14ac:dyDescent="0.25">
      <c r="A27" s="27"/>
      <c r="B27" s="128" t="s">
        <v>75</v>
      </c>
      <c r="C27" s="128"/>
      <c r="D27" s="128"/>
      <c r="E27" s="128"/>
      <c r="F27" s="128"/>
      <c r="G27" s="128"/>
      <c r="H27" s="128"/>
      <c r="I27" s="128"/>
      <c r="J27" s="128"/>
      <c r="K27" s="128"/>
      <c r="L27" s="128"/>
      <c r="M27" s="2"/>
      <c r="N27" s="7"/>
      <c r="O27" s="7"/>
      <c r="P27" s="7"/>
      <c r="Q27" s="7"/>
      <c r="R27" s="7"/>
      <c r="S27" s="7"/>
      <c r="T27" s="7"/>
    </row>
    <row r="28" spans="1:20" ht="30.75" customHeight="1" x14ac:dyDescent="0.25">
      <c r="A28" s="27"/>
      <c r="B28" s="54"/>
      <c r="C28" s="117" t="e">
        <f>VLOOKUP(M1,'Desain Pembelajaran'!A7:K31,11,FALSE)</f>
        <v>#N/A</v>
      </c>
      <c r="D28" s="117"/>
      <c r="E28" s="117"/>
      <c r="F28" s="117"/>
      <c r="G28" s="117"/>
      <c r="H28" s="117"/>
      <c r="I28" s="117"/>
      <c r="J28" s="117"/>
      <c r="K28" s="117"/>
      <c r="L28" s="117"/>
      <c r="M28" s="2"/>
      <c r="N28" s="7"/>
      <c r="O28" s="7"/>
      <c r="P28" s="7"/>
      <c r="Q28" s="7"/>
      <c r="R28" s="7"/>
      <c r="S28" s="7"/>
      <c r="T28" s="7"/>
    </row>
    <row r="29" spans="1:20" ht="18" customHeight="1" x14ac:dyDescent="0.25">
      <c r="A29" s="27"/>
      <c r="B29" s="129" t="s">
        <v>76</v>
      </c>
      <c r="C29" s="129"/>
      <c r="D29" s="124"/>
      <c r="E29" s="124"/>
      <c r="F29" s="124"/>
      <c r="G29" s="124"/>
      <c r="H29" s="124"/>
      <c r="I29" s="124"/>
      <c r="J29" s="124"/>
      <c r="K29" s="124"/>
      <c r="L29" s="124"/>
      <c r="M29" s="2"/>
      <c r="N29" s="7"/>
      <c r="O29" s="7"/>
      <c r="P29" s="7"/>
      <c r="Q29" s="7"/>
      <c r="R29" s="7"/>
      <c r="S29" s="7"/>
      <c r="T29" s="7"/>
    </row>
    <row r="30" spans="1:20" ht="105.75" customHeight="1" x14ac:dyDescent="0.25">
      <c r="A30" s="27"/>
      <c r="C30" s="124" t="e">
        <f>VLOOKUP(M1,'Desain Pembelajaran'!A7:L31,12,FALSE)</f>
        <v>#N/A</v>
      </c>
      <c r="D30" s="124"/>
      <c r="E30" s="124"/>
      <c r="F30" s="124"/>
      <c r="G30" s="124"/>
      <c r="H30" s="124"/>
      <c r="I30" s="124"/>
      <c r="J30" s="124"/>
      <c r="K30" s="124"/>
      <c r="L30" s="124"/>
      <c r="M30" s="2"/>
      <c r="N30" s="7"/>
      <c r="O30" s="7"/>
      <c r="P30" s="7"/>
      <c r="Q30" s="7"/>
      <c r="R30" s="7"/>
      <c r="S30" s="7"/>
      <c r="T30" s="7"/>
    </row>
    <row r="31" spans="1:20" ht="21.6" customHeight="1" x14ac:dyDescent="0.25">
      <c r="A31" s="63" t="s">
        <v>77</v>
      </c>
      <c r="B31" s="141" t="s">
        <v>79</v>
      </c>
      <c r="C31" s="141"/>
      <c r="D31" s="141"/>
      <c r="E31" s="141"/>
      <c r="F31" s="141"/>
      <c r="G31" s="141"/>
      <c r="H31" s="141"/>
      <c r="I31" s="141"/>
      <c r="J31" s="141"/>
      <c r="K31" s="141"/>
      <c r="L31" s="141"/>
      <c r="M31" s="2"/>
      <c r="N31" s="7"/>
      <c r="O31" s="7"/>
      <c r="P31" s="7"/>
      <c r="Q31" s="7"/>
      <c r="R31" s="7"/>
      <c r="S31" s="7"/>
      <c r="T31" s="7"/>
    </row>
    <row r="32" spans="1:20" x14ac:dyDescent="0.25">
      <c r="A32" s="57"/>
      <c r="B32" s="53" t="s">
        <v>17</v>
      </c>
      <c r="C32" s="130" t="s">
        <v>86</v>
      </c>
      <c r="D32" s="130"/>
      <c r="E32" s="130"/>
      <c r="F32" s="130"/>
      <c r="G32" s="130"/>
      <c r="H32" s="130"/>
      <c r="I32" s="130"/>
      <c r="J32" s="130"/>
      <c r="K32" s="130"/>
      <c r="L32" s="130"/>
      <c r="M32" s="2"/>
      <c r="N32" s="7"/>
      <c r="O32" s="7"/>
      <c r="P32" s="7"/>
      <c r="Q32" s="7"/>
      <c r="R32" s="7"/>
      <c r="S32" s="7"/>
      <c r="T32" s="7"/>
    </row>
    <row r="33" spans="1:20" ht="31.5" customHeight="1" x14ac:dyDescent="0.25">
      <c r="A33" s="126"/>
      <c r="B33" s="127"/>
      <c r="C33" s="67">
        <v>1</v>
      </c>
      <c r="D33" s="131" t="s">
        <v>117</v>
      </c>
      <c r="E33" s="131"/>
      <c r="F33" s="131"/>
      <c r="G33" s="131"/>
      <c r="H33" s="131"/>
      <c r="I33" s="131"/>
      <c r="J33" s="131"/>
      <c r="K33" s="131"/>
      <c r="L33" s="132"/>
    </row>
    <row r="34" spans="1:20" ht="45" customHeight="1" x14ac:dyDescent="0.25">
      <c r="A34" s="126"/>
      <c r="B34" s="127"/>
      <c r="C34" s="67">
        <v>2</v>
      </c>
      <c r="D34" s="131" t="s">
        <v>55</v>
      </c>
      <c r="E34" s="131"/>
      <c r="F34" s="131"/>
      <c r="G34" s="131"/>
      <c r="H34" s="131"/>
      <c r="I34" s="131"/>
      <c r="J34" s="131"/>
      <c r="K34" s="131"/>
      <c r="L34" s="132"/>
    </row>
    <row r="35" spans="1:20" ht="42" customHeight="1" x14ac:dyDescent="0.25">
      <c r="A35" s="126"/>
      <c r="B35" s="127"/>
      <c r="C35" s="67">
        <v>3</v>
      </c>
      <c r="D35" s="131" t="s">
        <v>118</v>
      </c>
      <c r="E35" s="131"/>
      <c r="F35" s="131"/>
      <c r="G35" s="131"/>
      <c r="H35" s="131"/>
      <c r="I35" s="131"/>
      <c r="J35" s="131"/>
      <c r="K35" s="131"/>
      <c r="L35" s="132"/>
    </row>
    <row r="36" spans="1:20" ht="43.5" customHeight="1" x14ac:dyDescent="0.25">
      <c r="A36" s="126"/>
      <c r="B36" s="127"/>
      <c r="C36" s="67">
        <v>4</v>
      </c>
      <c r="D36" s="131" t="e">
        <f>"Guru memberikan pertanyaan pemantik sebagai asesmen awal dengan memberikan pertanyaan sederhana tentang materi yang akan dipelajari untuk mengukur pengetahuan awal, seperti mengapa kita perlu mempelajari tentang "&amp;VLOOKUP(M1,'Desain Pembelajaran'!A7:H31,8,FALSE)</f>
        <v>#N/A</v>
      </c>
      <c r="E36" s="131"/>
      <c r="F36" s="131"/>
      <c r="G36" s="131"/>
      <c r="H36" s="131"/>
      <c r="I36" s="131"/>
      <c r="J36" s="131"/>
      <c r="K36" s="131"/>
      <c r="L36" s="132"/>
    </row>
    <row r="37" spans="1:20" ht="70.5" customHeight="1" x14ac:dyDescent="0.25">
      <c r="A37" s="126"/>
      <c r="B37" s="127"/>
      <c r="C37" s="67">
        <v>5</v>
      </c>
      <c r="D37" s="131" t="s">
        <v>87</v>
      </c>
      <c r="E37" s="131"/>
      <c r="F37" s="131"/>
      <c r="G37" s="131"/>
      <c r="H37" s="131"/>
      <c r="I37" s="131"/>
      <c r="J37" s="131"/>
      <c r="K37" s="131"/>
      <c r="L37" s="132"/>
    </row>
    <row r="38" spans="1:20" ht="15" customHeight="1" x14ac:dyDescent="0.25">
      <c r="A38" s="57"/>
      <c r="B38" s="53" t="s">
        <v>17</v>
      </c>
      <c r="C38" s="14" t="s">
        <v>78</v>
      </c>
      <c r="D38" s="14"/>
      <c r="E38" s="14"/>
      <c r="F38" s="14"/>
      <c r="G38" s="14"/>
      <c r="H38" s="14"/>
      <c r="I38" s="14"/>
      <c r="J38" s="14"/>
      <c r="K38" s="14"/>
      <c r="L38" s="14"/>
      <c r="M38" s="2"/>
      <c r="N38" s="7"/>
      <c r="O38" s="7"/>
      <c r="P38" s="7"/>
      <c r="Q38" s="7"/>
      <c r="R38" s="7"/>
      <c r="S38" s="7"/>
      <c r="T38" s="7"/>
    </row>
    <row r="39" spans="1:20" ht="87.75" customHeight="1" x14ac:dyDescent="0.25">
      <c r="A39" s="57"/>
      <c r="B39" s="52"/>
      <c r="C39" s="118" t="s">
        <v>93</v>
      </c>
      <c r="D39" s="118"/>
      <c r="E39" s="118"/>
      <c r="F39" s="118"/>
      <c r="G39" s="139" t="s">
        <v>89</v>
      </c>
      <c r="H39" s="139"/>
      <c r="I39" s="139"/>
      <c r="J39" s="137" t="e">
        <f>VLOOKUP($M$1,'Langkah Pembelajaran'!$A$7:$G$31,2,FALSE)</f>
        <v>#N/A</v>
      </c>
      <c r="K39" s="137"/>
      <c r="L39" s="138"/>
      <c r="M39" s="2"/>
      <c r="N39" s="7"/>
      <c r="O39" s="7"/>
      <c r="P39" s="7"/>
      <c r="Q39" s="7"/>
      <c r="R39" s="7"/>
      <c r="S39" s="7"/>
      <c r="T39" s="7"/>
    </row>
    <row r="40" spans="1:20" ht="72.75" customHeight="1" x14ac:dyDescent="0.25">
      <c r="A40" s="57"/>
      <c r="B40" s="52"/>
      <c r="C40" s="142" t="s">
        <v>85</v>
      </c>
      <c r="D40" s="143"/>
      <c r="E40" s="143"/>
      <c r="F40" s="144"/>
      <c r="G40" s="125" t="s">
        <v>88</v>
      </c>
      <c r="H40" s="125"/>
      <c r="I40" s="125"/>
      <c r="J40" s="120" t="e">
        <f>VLOOKUP($M$1,'Langkah Pembelajaran'!$A$7:$G$31,3,FALSE)</f>
        <v>#N/A</v>
      </c>
      <c r="K40" s="121"/>
      <c r="L40" s="122"/>
      <c r="M40" s="2"/>
      <c r="N40" s="7"/>
      <c r="O40" s="7"/>
      <c r="P40" s="7"/>
      <c r="Q40" s="7"/>
      <c r="R40" s="7"/>
      <c r="S40" s="7"/>
      <c r="T40" s="7"/>
    </row>
    <row r="41" spans="1:20" ht="86.25" customHeight="1" x14ac:dyDescent="0.25">
      <c r="A41" s="57"/>
      <c r="B41" s="52"/>
      <c r="C41" s="145"/>
      <c r="D41" s="146"/>
      <c r="E41" s="146"/>
      <c r="F41" s="147"/>
      <c r="G41" s="125" t="s">
        <v>90</v>
      </c>
      <c r="H41" s="125"/>
      <c r="I41" s="125"/>
      <c r="J41" s="120" t="e">
        <f>VLOOKUP($M$1,'Langkah Pembelajaran'!$A$7:$G$31,4,FALSE)</f>
        <v>#N/A</v>
      </c>
      <c r="K41" s="121"/>
      <c r="L41" s="122"/>
      <c r="M41" s="2"/>
      <c r="N41" s="7"/>
      <c r="O41" s="7"/>
      <c r="P41" s="7"/>
      <c r="Q41" s="7"/>
      <c r="R41" s="7"/>
      <c r="S41" s="7"/>
      <c r="T41" s="7"/>
    </row>
    <row r="42" spans="1:20" ht="72" customHeight="1" x14ac:dyDescent="0.25">
      <c r="A42" s="57"/>
      <c r="B42" s="52"/>
      <c r="C42" s="145"/>
      <c r="D42" s="146"/>
      <c r="E42" s="146"/>
      <c r="F42" s="147"/>
      <c r="G42" s="125" t="s">
        <v>91</v>
      </c>
      <c r="H42" s="125"/>
      <c r="I42" s="125"/>
      <c r="J42" s="120" t="e">
        <f>VLOOKUP($M$1,'Langkah Pembelajaran'!$A$7:$G$31,5,FALSE)</f>
        <v>#N/A</v>
      </c>
      <c r="K42" s="121"/>
      <c r="L42" s="122"/>
      <c r="M42" s="2"/>
      <c r="N42" s="7"/>
      <c r="O42" s="7"/>
      <c r="P42" s="7"/>
      <c r="Q42" s="7"/>
      <c r="R42" s="7"/>
      <c r="S42" s="7"/>
      <c r="T42" s="7"/>
    </row>
    <row r="43" spans="1:20" ht="72.75" customHeight="1" x14ac:dyDescent="0.25">
      <c r="A43" s="57"/>
      <c r="B43" s="52"/>
      <c r="C43" s="148"/>
      <c r="D43" s="149"/>
      <c r="E43" s="149"/>
      <c r="F43" s="150"/>
      <c r="G43" s="125" t="s">
        <v>92</v>
      </c>
      <c r="H43" s="125"/>
      <c r="I43" s="125"/>
      <c r="J43" s="120" t="e">
        <f>VLOOKUP($M$1,'Langkah Pembelajaran'!$A$7:$G$31,6,FALSE)</f>
        <v>#N/A</v>
      </c>
      <c r="K43" s="121"/>
      <c r="L43" s="122"/>
      <c r="M43" s="2"/>
      <c r="N43" s="7"/>
      <c r="O43" s="7"/>
      <c r="P43" s="7"/>
      <c r="Q43" s="7"/>
      <c r="R43" s="7"/>
      <c r="S43" s="7"/>
      <c r="T43" s="7"/>
    </row>
    <row r="44" spans="1:20" ht="72.75" customHeight="1" x14ac:dyDescent="0.25">
      <c r="A44" s="57"/>
      <c r="B44" s="52"/>
      <c r="C44" s="118" t="s">
        <v>95</v>
      </c>
      <c r="D44" s="118"/>
      <c r="E44" s="118"/>
      <c r="F44" s="118"/>
      <c r="G44" s="119" t="s">
        <v>96</v>
      </c>
      <c r="H44" s="119"/>
      <c r="I44" s="119"/>
      <c r="J44" s="120" t="e">
        <f>VLOOKUP($M$1,'Langkah Pembelajaran'!$A$7:$G$31,7,FALSE)</f>
        <v>#N/A</v>
      </c>
      <c r="K44" s="121"/>
      <c r="L44" s="122"/>
      <c r="M44" s="2"/>
      <c r="N44" s="7"/>
      <c r="O44" s="7"/>
      <c r="P44" s="7"/>
      <c r="Q44" s="7"/>
      <c r="R44" s="7"/>
      <c r="S44" s="7"/>
      <c r="T44" s="7"/>
    </row>
    <row r="45" spans="1:20" ht="21" customHeight="1" x14ac:dyDescent="0.25">
      <c r="A45" s="57"/>
      <c r="B45" s="53" t="s">
        <v>17</v>
      </c>
      <c r="C45" s="14" t="s">
        <v>94</v>
      </c>
      <c r="D45" s="14"/>
      <c r="E45" s="64"/>
      <c r="F45" s="64"/>
      <c r="G45" s="65"/>
      <c r="H45" s="65"/>
      <c r="I45" s="65"/>
      <c r="J45" s="25"/>
      <c r="K45" s="25"/>
      <c r="L45" s="25"/>
      <c r="M45" s="2"/>
      <c r="N45" s="7"/>
      <c r="O45" s="7"/>
      <c r="P45" s="7"/>
      <c r="Q45" s="7"/>
      <c r="R45" s="7"/>
      <c r="S45" s="7"/>
      <c r="T45" s="7"/>
    </row>
    <row r="46" spans="1:20" ht="42.75" customHeight="1" x14ac:dyDescent="0.25">
      <c r="A46" s="57"/>
      <c r="B46" s="56"/>
      <c r="C46" s="66">
        <v>1</v>
      </c>
      <c r="D46" s="124" t="s">
        <v>122</v>
      </c>
      <c r="E46" s="124"/>
      <c r="F46" s="124"/>
      <c r="G46" s="124"/>
      <c r="H46" s="124"/>
      <c r="I46" s="124"/>
      <c r="J46" s="124"/>
      <c r="K46" s="124"/>
      <c r="L46" s="124"/>
      <c r="M46" s="2"/>
      <c r="N46" s="7"/>
      <c r="O46" t="s">
        <v>106</v>
      </c>
      <c r="P46" s="7"/>
      <c r="Q46" s="7"/>
      <c r="R46" s="7"/>
      <c r="S46" s="7"/>
      <c r="T46" s="7"/>
    </row>
    <row r="47" spans="1:20" ht="32.1" customHeight="1" x14ac:dyDescent="0.25">
      <c r="A47" s="57"/>
      <c r="B47" s="56"/>
      <c r="C47" s="66">
        <v>2</v>
      </c>
      <c r="D47" s="124" t="s">
        <v>107</v>
      </c>
      <c r="E47" s="124"/>
      <c r="F47" s="124"/>
      <c r="G47" s="124"/>
      <c r="H47" s="124"/>
      <c r="I47" s="124"/>
      <c r="J47" s="124"/>
      <c r="K47" s="124"/>
      <c r="L47" s="124"/>
      <c r="M47" s="2"/>
      <c r="N47" s="7"/>
      <c r="O47" s="7"/>
      <c r="P47" s="7"/>
      <c r="Q47" s="7"/>
      <c r="R47" s="7"/>
      <c r="S47" s="7"/>
      <c r="T47" s="7"/>
    </row>
    <row r="48" spans="1:20" ht="32.1" customHeight="1" x14ac:dyDescent="0.25">
      <c r="A48" s="57"/>
      <c r="B48" s="56"/>
      <c r="C48" s="66">
        <v>3</v>
      </c>
      <c r="D48" s="117" t="s">
        <v>108</v>
      </c>
      <c r="E48" s="117"/>
      <c r="F48" s="117"/>
      <c r="G48" s="117"/>
      <c r="H48" s="117"/>
      <c r="I48" s="117"/>
      <c r="J48" s="117"/>
      <c r="K48" s="117"/>
      <c r="L48" s="117"/>
      <c r="M48" s="2"/>
      <c r="N48" s="7"/>
      <c r="O48" s="7"/>
      <c r="P48" s="7"/>
      <c r="Q48" s="7"/>
      <c r="R48" s="7"/>
      <c r="S48" s="7"/>
      <c r="T48" s="7"/>
    </row>
    <row r="49" spans="1:20" ht="6.75" customHeight="1" x14ac:dyDescent="0.25">
      <c r="A49" s="57"/>
      <c r="B49" s="15"/>
      <c r="C49" s="15"/>
      <c r="D49" s="16"/>
      <c r="E49" s="16"/>
      <c r="F49" s="16"/>
      <c r="G49" s="16"/>
      <c r="H49" s="16"/>
      <c r="I49" s="16"/>
      <c r="J49" s="16"/>
      <c r="K49" s="16"/>
      <c r="L49" s="16"/>
      <c r="M49" s="2"/>
      <c r="N49" s="7"/>
      <c r="O49" s="7"/>
      <c r="P49" s="7"/>
      <c r="Q49" s="7"/>
      <c r="R49" s="7"/>
      <c r="S49" s="7"/>
      <c r="T49" s="7"/>
    </row>
    <row r="50" spans="1:20" ht="15" customHeight="1" x14ac:dyDescent="0.25">
      <c r="A50" s="13" t="s">
        <v>80</v>
      </c>
      <c r="B50" s="14" t="s">
        <v>81</v>
      </c>
      <c r="C50" s="14"/>
      <c r="D50" s="14"/>
      <c r="E50" s="14"/>
      <c r="F50" s="9"/>
      <c r="G50" s="9"/>
      <c r="H50" s="9"/>
      <c r="I50" s="9"/>
      <c r="J50" s="9"/>
      <c r="K50" s="9"/>
      <c r="L50" s="9"/>
      <c r="M50" s="2"/>
      <c r="N50" s="7"/>
      <c r="O50" s="7"/>
      <c r="P50" s="7"/>
      <c r="Q50" s="7"/>
      <c r="R50" s="7"/>
      <c r="S50" s="7"/>
      <c r="T50" s="7"/>
    </row>
    <row r="51" spans="1:20" ht="15" customHeight="1" x14ac:dyDescent="0.25">
      <c r="A51" s="55"/>
      <c r="B51" s="123" t="s">
        <v>82</v>
      </c>
      <c r="C51" s="123"/>
      <c r="D51" s="123"/>
      <c r="E51" s="123"/>
      <c r="F51" s="123"/>
      <c r="G51" s="123"/>
      <c r="H51" s="25"/>
      <c r="I51" s="25"/>
      <c r="J51" s="25"/>
      <c r="K51" s="25"/>
      <c r="L51" s="25"/>
      <c r="M51" s="2"/>
      <c r="N51" s="7"/>
      <c r="O51" s="7"/>
      <c r="P51" s="7"/>
      <c r="Q51" s="7"/>
      <c r="R51" s="7"/>
      <c r="S51" s="7"/>
      <c r="T51" s="7"/>
    </row>
    <row r="52" spans="1:20" ht="31.5" customHeight="1" x14ac:dyDescent="0.25">
      <c r="A52" s="9"/>
      <c r="B52" s="54"/>
      <c r="C52" s="117" t="e">
        <f>VLOOKUP(M1,'Asesmen '!A6:D30,2,FALSE)</f>
        <v>#N/A</v>
      </c>
      <c r="D52" s="117"/>
      <c r="E52" s="117"/>
      <c r="F52" s="117"/>
      <c r="G52" s="117"/>
      <c r="H52" s="117"/>
      <c r="I52" s="117"/>
      <c r="J52" s="117"/>
      <c r="K52" s="117"/>
      <c r="L52" s="117"/>
      <c r="M52" s="2"/>
      <c r="N52" s="7"/>
      <c r="O52" s="7"/>
      <c r="P52" s="7"/>
      <c r="Q52" s="7"/>
      <c r="R52" s="7"/>
      <c r="S52" s="7"/>
      <c r="T52" s="7"/>
    </row>
    <row r="53" spans="1:20" ht="18" customHeight="1" x14ac:dyDescent="0.25">
      <c r="A53" s="9"/>
      <c r="B53" s="123" t="s">
        <v>83</v>
      </c>
      <c r="C53" s="123"/>
      <c r="D53" s="123"/>
      <c r="E53" s="123"/>
      <c r="F53" s="123"/>
      <c r="G53" s="123"/>
      <c r="H53" s="123"/>
      <c r="I53" s="123"/>
      <c r="J53" s="123"/>
      <c r="K53" s="123"/>
      <c r="L53" s="123"/>
      <c r="M53" s="2"/>
      <c r="N53" s="7"/>
      <c r="O53" s="7"/>
      <c r="P53" s="7"/>
      <c r="Q53" s="7"/>
      <c r="R53" s="7"/>
      <c r="S53" s="7"/>
      <c r="T53" s="7"/>
    </row>
    <row r="54" spans="1:20" ht="30.75" customHeight="1" x14ac:dyDescent="0.25">
      <c r="A54" s="9"/>
      <c r="B54" s="54"/>
      <c r="C54" s="117" t="e">
        <f>VLOOKUP(M1,'Asesmen '!A6:D30,3,FALSE)</f>
        <v>#N/A</v>
      </c>
      <c r="D54" s="117"/>
      <c r="E54" s="117"/>
      <c r="F54" s="117"/>
      <c r="G54" s="117"/>
      <c r="H54" s="117"/>
      <c r="I54" s="117"/>
      <c r="J54" s="117"/>
      <c r="K54" s="117"/>
      <c r="L54" s="117"/>
      <c r="M54" s="2"/>
      <c r="N54" s="7"/>
      <c r="O54" s="7"/>
      <c r="P54" s="7"/>
      <c r="Q54" s="7"/>
      <c r="R54" s="7"/>
      <c r="S54" s="7"/>
      <c r="T54" s="7"/>
    </row>
    <row r="55" spans="1:20" ht="18" customHeight="1" x14ac:dyDescent="0.25">
      <c r="A55" s="9"/>
      <c r="B55" s="123" t="s">
        <v>84</v>
      </c>
      <c r="C55" s="123"/>
      <c r="D55" s="123"/>
      <c r="E55" s="123"/>
      <c r="F55" s="123"/>
      <c r="G55" s="123"/>
      <c r="H55" s="123"/>
      <c r="I55" s="123"/>
      <c r="J55" s="123"/>
      <c r="K55" s="123"/>
      <c r="L55" s="123"/>
      <c r="M55" s="2"/>
      <c r="N55" s="7"/>
      <c r="O55" s="7"/>
      <c r="P55" s="7"/>
      <c r="Q55" s="7"/>
      <c r="R55" s="7"/>
      <c r="S55" s="7"/>
      <c r="T55" s="7"/>
    </row>
    <row r="56" spans="1:20" ht="30.75" customHeight="1" x14ac:dyDescent="0.25">
      <c r="A56" s="9"/>
      <c r="B56" s="54"/>
      <c r="C56" s="117" t="e">
        <f>VLOOKUP(M1,'Asesmen '!A6:D30,4,FALSE)</f>
        <v>#N/A</v>
      </c>
      <c r="D56" s="117"/>
      <c r="E56" s="117"/>
      <c r="F56" s="117"/>
      <c r="G56" s="117"/>
      <c r="H56" s="117"/>
      <c r="I56" s="117"/>
      <c r="J56" s="117"/>
      <c r="K56" s="117"/>
      <c r="L56" s="117"/>
      <c r="M56" s="2"/>
      <c r="N56" s="7"/>
      <c r="O56" s="7"/>
      <c r="P56" s="7"/>
      <c r="Q56" s="7"/>
      <c r="R56" s="7"/>
      <c r="S56" s="7"/>
      <c r="T56" s="7"/>
    </row>
    <row r="57" spans="1:20" ht="33.75" customHeight="1" x14ac:dyDescent="0.25">
      <c r="A57" s="9"/>
      <c r="B57" s="26"/>
      <c r="C57" s="26"/>
      <c r="D57" s="26"/>
      <c r="E57" s="26"/>
      <c r="F57" s="26"/>
      <c r="G57" s="26"/>
      <c r="H57" s="26"/>
      <c r="I57" s="26"/>
      <c r="J57" s="26"/>
      <c r="K57" s="26"/>
      <c r="L57" s="26"/>
      <c r="M57" s="2"/>
      <c r="N57" s="7"/>
      <c r="O57" s="7"/>
      <c r="P57" s="7"/>
      <c r="Q57" s="7"/>
      <c r="R57" s="7"/>
      <c r="S57" s="7"/>
      <c r="T57" s="7"/>
    </row>
    <row r="58" spans="1:20" ht="15" customHeight="1" x14ac:dyDescent="0.25">
      <c r="A58" s="156" t="s">
        <v>18</v>
      </c>
      <c r="B58" s="156"/>
      <c r="C58" s="156"/>
      <c r="D58" s="156"/>
      <c r="E58" s="156"/>
      <c r="F58" s="156"/>
      <c r="G58" s="156"/>
      <c r="H58" s="156"/>
      <c r="I58" s="23"/>
      <c r="J58" s="23"/>
      <c r="K58" s="152" t="str">
        <f>'HALAMAN AWAL'!D16</f>
        <v>Lampung, 13 Juli 2025</v>
      </c>
      <c r="L58" s="152"/>
      <c r="M58" s="2"/>
      <c r="N58" s="7"/>
      <c r="O58" s="7"/>
      <c r="P58" s="7"/>
      <c r="Q58" s="7"/>
      <c r="R58" s="7"/>
      <c r="S58" s="7"/>
      <c r="T58" s="7"/>
    </row>
    <row r="59" spans="1:20" ht="15" customHeight="1" x14ac:dyDescent="0.25">
      <c r="A59" s="152" t="str">
        <f>"Kepala Sekolah "&amp; 'HALAMAN AWAL'!D8</f>
        <v>Kepala Sekolah SMA JAYA 1</v>
      </c>
      <c r="B59" s="152"/>
      <c r="C59" s="152"/>
      <c r="D59" s="152"/>
      <c r="E59" s="152"/>
      <c r="F59" s="152"/>
      <c r="G59" s="152"/>
      <c r="H59" s="152"/>
      <c r="I59" s="17"/>
      <c r="J59" s="17"/>
      <c r="K59" s="152" t="s">
        <v>19</v>
      </c>
      <c r="L59" s="152"/>
      <c r="M59" s="2"/>
      <c r="N59" s="7"/>
      <c r="O59" s="7"/>
      <c r="P59" s="7"/>
      <c r="Q59" s="7"/>
      <c r="R59" s="7"/>
      <c r="S59" s="7"/>
      <c r="T59" s="7"/>
    </row>
    <row r="60" spans="1:20" x14ac:dyDescent="0.25">
      <c r="A60" s="9"/>
      <c r="B60" s="9"/>
      <c r="C60" s="9"/>
      <c r="D60" s="9"/>
      <c r="E60" s="9"/>
      <c r="F60" s="9"/>
      <c r="G60" s="9"/>
      <c r="H60" s="9"/>
      <c r="I60" s="9"/>
      <c r="J60" s="9"/>
      <c r="K60" s="9"/>
      <c r="L60" s="9"/>
      <c r="M60" s="2"/>
      <c r="N60" s="7"/>
      <c r="O60" s="7"/>
      <c r="P60" s="7"/>
      <c r="Q60" s="7"/>
      <c r="R60" s="7"/>
      <c r="S60" s="7"/>
      <c r="T60" s="7"/>
    </row>
    <row r="61" spans="1:20" x14ac:dyDescent="0.25">
      <c r="A61" s="9"/>
      <c r="B61" s="9"/>
      <c r="C61" s="9"/>
      <c r="D61" s="9"/>
      <c r="E61" s="9"/>
      <c r="F61" s="9"/>
      <c r="G61" s="9"/>
      <c r="H61" s="9"/>
      <c r="I61" s="9"/>
      <c r="J61" s="9"/>
      <c r="K61" s="9"/>
      <c r="L61" s="9"/>
      <c r="M61" s="2"/>
      <c r="N61" s="7"/>
      <c r="O61" s="7"/>
      <c r="P61" s="7"/>
      <c r="Q61" s="7"/>
      <c r="R61" s="7"/>
      <c r="S61" s="7"/>
      <c r="T61" s="7"/>
    </row>
    <row r="62" spans="1:20" x14ac:dyDescent="0.25">
      <c r="A62" s="9"/>
      <c r="B62" s="9"/>
      <c r="C62" s="9"/>
      <c r="D62" s="9"/>
      <c r="E62" s="9"/>
      <c r="F62" s="9"/>
      <c r="G62" s="9"/>
      <c r="H62" s="9"/>
      <c r="I62" s="9"/>
      <c r="J62" s="9"/>
      <c r="K62" s="9"/>
      <c r="L62" s="9"/>
      <c r="M62" s="2"/>
      <c r="N62" s="7"/>
      <c r="O62" s="7"/>
      <c r="P62" s="7"/>
      <c r="Q62" s="7"/>
      <c r="R62" s="7"/>
      <c r="S62" s="7"/>
      <c r="T62" s="7"/>
    </row>
    <row r="63" spans="1:20" x14ac:dyDescent="0.25">
      <c r="A63" s="9"/>
      <c r="B63" s="9"/>
      <c r="C63" s="9"/>
      <c r="D63" s="9"/>
      <c r="E63" s="9"/>
      <c r="F63" s="9"/>
      <c r="G63" s="9"/>
      <c r="H63" s="9"/>
      <c r="I63" s="9"/>
      <c r="J63" s="9"/>
      <c r="K63" s="9"/>
      <c r="L63" s="9"/>
      <c r="M63" s="2"/>
      <c r="N63" s="7"/>
      <c r="O63" s="7"/>
      <c r="P63" s="7"/>
      <c r="Q63" s="7"/>
      <c r="R63" s="7"/>
      <c r="S63" s="7"/>
      <c r="T63" s="7"/>
    </row>
    <row r="64" spans="1:20" x14ac:dyDescent="0.25">
      <c r="A64" s="155" t="str">
        <f>'HALAMAN AWAL'!D9</f>
        <v>Hastian Y.A S.Kom</v>
      </c>
      <c r="B64" s="155"/>
      <c r="C64" s="155"/>
      <c r="D64" s="155"/>
      <c r="E64" s="155"/>
      <c r="F64" s="155"/>
      <c r="G64" s="155"/>
      <c r="H64" s="155"/>
      <c r="I64" s="22"/>
      <c r="J64" s="22"/>
      <c r="K64" s="153" t="str">
        <f>'HALAMAN AWAL'!D11</f>
        <v>ROHMAT</v>
      </c>
      <c r="L64" s="153"/>
      <c r="M64" s="2"/>
      <c r="N64" s="7"/>
      <c r="O64" s="7"/>
      <c r="P64" s="7"/>
      <c r="Q64" s="7"/>
      <c r="R64" s="7"/>
      <c r="S64" s="7"/>
      <c r="T64" s="7"/>
    </row>
    <row r="65" spans="1:20" x14ac:dyDescent="0.25">
      <c r="A65" s="6"/>
      <c r="B65" s="6"/>
      <c r="C65" s="6"/>
      <c r="D65" s="151" t="str">
        <f>'HALAMAN AWAL'!D10</f>
        <v>-</v>
      </c>
      <c r="E65" s="151"/>
      <c r="F65" s="151"/>
      <c r="G65" s="6"/>
      <c r="H65" s="6"/>
      <c r="I65" s="6"/>
      <c r="J65" s="6"/>
      <c r="K65" s="154" t="str">
        <f>'HALAMAN AWAL'!D12</f>
        <v>-</v>
      </c>
      <c r="L65" s="154"/>
      <c r="M65" s="2"/>
      <c r="N65" s="7"/>
      <c r="O65" s="7"/>
      <c r="P65" s="7"/>
      <c r="Q65" s="7"/>
      <c r="R65" s="7"/>
      <c r="S65" s="7"/>
      <c r="T65" s="7"/>
    </row>
    <row r="66" spans="1:20" x14ac:dyDescent="0.25">
      <c r="A66" s="8"/>
      <c r="B66" s="8"/>
      <c r="C66" s="8"/>
      <c r="D66" s="8"/>
      <c r="E66" s="8"/>
      <c r="F66" s="8"/>
      <c r="G66" s="8"/>
      <c r="H66" s="8"/>
      <c r="I66" s="8"/>
      <c r="J66" s="8"/>
      <c r="K66" s="8"/>
      <c r="L66" s="8"/>
      <c r="M66" s="8"/>
      <c r="N66" s="7"/>
      <c r="O66" s="7"/>
      <c r="P66" s="7"/>
      <c r="Q66" s="7"/>
      <c r="R66" s="7"/>
      <c r="S66" s="7"/>
      <c r="T66" s="7"/>
    </row>
  </sheetData>
  <sheetProtection formatCells="0" formatColumns="0" formatRows="0" insertColumns="0" insertRows="0" insertHyperlinks="0" deleteColumns="0" deleteRows="0"/>
  <mergeCells count="65">
    <mergeCell ref="C56:L56"/>
    <mergeCell ref="D65:F65"/>
    <mergeCell ref="K58:L58"/>
    <mergeCell ref="K59:L59"/>
    <mergeCell ref="K64:L64"/>
    <mergeCell ref="K65:L65"/>
    <mergeCell ref="A64:H64"/>
    <mergeCell ref="A59:H59"/>
    <mergeCell ref="A58:H58"/>
    <mergeCell ref="B55:L55"/>
    <mergeCell ref="D36:L36"/>
    <mergeCell ref="D37:L37"/>
    <mergeCell ref="D17:L17"/>
    <mergeCell ref="B18:L18"/>
    <mergeCell ref="B23:L23"/>
    <mergeCell ref="D20:L20"/>
    <mergeCell ref="D21:L21"/>
    <mergeCell ref="B53:L53"/>
    <mergeCell ref="J40:L40"/>
    <mergeCell ref="J41:L41"/>
    <mergeCell ref="J42:L42"/>
    <mergeCell ref="J43:L43"/>
    <mergeCell ref="B31:L31"/>
    <mergeCell ref="G43:I43"/>
    <mergeCell ref="C40:F43"/>
    <mergeCell ref="G41:I41"/>
    <mergeCell ref="N1:R7"/>
    <mergeCell ref="A1:L1"/>
    <mergeCell ref="B14:L14"/>
    <mergeCell ref="B9:F9"/>
    <mergeCell ref="A2:L2"/>
    <mergeCell ref="B12:L12"/>
    <mergeCell ref="C13:L13"/>
    <mergeCell ref="C11:L11"/>
    <mergeCell ref="D15:L15"/>
    <mergeCell ref="D16:L16"/>
    <mergeCell ref="C39:F39"/>
    <mergeCell ref="J39:L39"/>
    <mergeCell ref="G39:I39"/>
    <mergeCell ref="G40:I40"/>
    <mergeCell ref="G42:I42"/>
    <mergeCell ref="A33:B37"/>
    <mergeCell ref="C30:L30"/>
    <mergeCell ref="B19:L19"/>
    <mergeCell ref="B20:B22"/>
    <mergeCell ref="C24:L24"/>
    <mergeCell ref="C26:L26"/>
    <mergeCell ref="B27:L27"/>
    <mergeCell ref="B29:L29"/>
    <mergeCell ref="C28:L28"/>
    <mergeCell ref="D22:L22"/>
    <mergeCell ref="B25:L25"/>
    <mergeCell ref="C32:L32"/>
    <mergeCell ref="D33:L33"/>
    <mergeCell ref="D34:L34"/>
    <mergeCell ref="D35:L35"/>
    <mergeCell ref="C52:L52"/>
    <mergeCell ref="C54:L54"/>
    <mergeCell ref="C44:F44"/>
    <mergeCell ref="G44:I44"/>
    <mergeCell ref="J44:L44"/>
    <mergeCell ref="D48:L48"/>
    <mergeCell ref="B51:G51"/>
    <mergeCell ref="D47:L47"/>
    <mergeCell ref="D46:L46"/>
  </mergeCells>
  <pageMargins left="0.62992125984251968" right="0.43307086614173229" top="0.55118110236220474" bottom="0.15748031496062992" header="0.31496062992125984" footer="0.31496062992125984"/>
  <pageSetup paperSize="9" scale="99" orientation="portrait" horizontalDpi="360" verticalDpi="360" r:id="rId1"/>
  <rowBreaks count="2" manualBreakCount="2">
    <brk id="30" max="11" man="1"/>
    <brk id="44" max="11" man="1"/>
  </rowBreaks>
  <drawing r:id="rId2"/>
  <legacyDrawing r:id="rId3"/>
  <mc:AlternateContent xmlns:mc="http://schemas.openxmlformats.org/markup-compatibility/2006">
    <mc:Choice Requires="x14">
      <controls>
        <mc:AlternateContent xmlns:mc="http://schemas.openxmlformats.org/markup-compatibility/2006">
          <mc:Choice Requires="x14">
            <control shapeId="3073" r:id="rId4" name="Spinner 1">
              <controlPr defaultSize="0" autoPict="0">
                <anchor moveWithCells="1" sizeWithCells="1">
                  <from>
                    <xdr:col>12</xdr:col>
                    <xdr:colOff>66675</xdr:colOff>
                    <xdr:row>1</xdr:row>
                    <xdr:rowOff>19050</xdr:rowOff>
                  </from>
                  <to>
                    <xdr:col>12</xdr:col>
                    <xdr:colOff>790575</xdr:colOff>
                    <xdr:row>2</xdr:row>
                    <xdr:rowOff>695325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HALAMAN AWAL</vt:lpstr>
      <vt:lpstr>Cover</vt:lpstr>
      <vt:lpstr>Desain Pembelajaran</vt:lpstr>
      <vt:lpstr>Langkah Pembelajaran</vt:lpstr>
      <vt:lpstr>Asesmen </vt:lpstr>
      <vt:lpstr>cetak RPP</vt:lpstr>
      <vt:lpstr>'cetak RPP'!Print_Area</vt:lpstr>
      <vt:lpstr>Cover!Print_Area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hastian tian</cp:lastModifiedBy>
  <cp:lastPrinted>2025-08-02T14:15:07Z</cp:lastPrinted>
  <dcterms:created xsi:type="dcterms:W3CDTF">2021-01-07T11:41:58Z</dcterms:created>
  <dcterms:modified xsi:type="dcterms:W3CDTF">2025-08-02T14:15:17Z</dcterms:modified>
</cp:coreProperties>
</file>